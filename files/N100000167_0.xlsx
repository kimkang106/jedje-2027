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17CE35B-09C9-48F2-9D1E-FBD45C7C8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교육과정편제표(조리과)" sheetId="1" r:id="rId1"/>
    <sheet name="교육과정편제표(미용과)" sheetId="2" r:id="rId2"/>
    <sheet name="실무과목 능력단위(조리과)" sheetId="7" r:id="rId3"/>
    <sheet name="실무과목 능력단위(미용과)" sheetId="8" r:id="rId4"/>
    <sheet name="삭제금지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4" i="7" l="1"/>
  <c r="T64" i="7"/>
  <c r="S64" i="7"/>
  <c r="R64" i="7"/>
  <c r="U60" i="7"/>
  <c r="T60" i="7"/>
  <c r="S60" i="7"/>
  <c r="R60" i="7"/>
  <c r="Q60" i="7"/>
  <c r="P60" i="7"/>
  <c r="U55" i="7"/>
  <c r="T55" i="7"/>
  <c r="S55" i="7"/>
  <c r="R55" i="7"/>
  <c r="Q55" i="7"/>
  <c r="P55" i="7"/>
  <c r="U26" i="7"/>
  <c r="T26" i="7"/>
  <c r="M26" i="7"/>
  <c r="U21" i="7"/>
  <c r="T21" i="7"/>
  <c r="M21" i="7"/>
  <c r="L21" i="7"/>
  <c r="U47" i="2"/>
  <c r="S47" i="2"/>
  <c r="O47" i="2"/>
  <c r="M47" i="2"/>
  <c r="K47" i="2"/>
  <c r="J47" i="2"/>
  <c r="W45" i="2"/>
  <c r="U45" i="2"/>
  <c r="S45" i="2"/>
  <c r="Q45" i="2"/>
  <c r="O45" i="2"/>
  <c r="M45" i="2"/>
  <c r="K45" i="2"/>
  <c r="J45" i="2"/>
  <c r="W42" i="2"/>
  <c r="W41" i="2"/>
  <c r="W40" i="2"/>
  <c r="W39" i="2"/>
  <c r="W38" i="2"/>
  <c r="W37" i="2"/>
  <c r="W36" i="2"/>
  <c r="W35" i="2"/>
  <c r="S34" i="2"/>
  <c r="Q34" i="2"/>
  <c r="Q47" i="2" s="1"/>
  <c r="O34" i="2"/>
  <c r="M34" i="2"/>
  <c r="K34" i="2"/>
  <c r="W34" i="2" s="1"/>
  <c r="J34" i="2"/>
  <c r="H34" i="2"/>
  <c r="W33" i="2"/>
  <c r="W32" i="2"/>
  <c r="W31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U52" i="1"/>
  <c r="S52" i="1"/>
  <c r="J52" i="1"/>
  <c r="U50" i="1"/>
  <c r="S50" i="1"/>
  <c r="Q50" i="1"/>
  <c r="O50" i="1"/>
  <c r="O52" i="1" s="1"/>
  <c r="M50" i="1"/>
  <c r="K50" i="1"/>
  <c r="W43" i="1"/>
  <c r="W42" i="1"/>
  <c r="W41" i="1"/>
  <c r="W50" i="1" s="1"/>
  <c r="S34" i="1"/>
  <c r="Q34" i="1"/>
  <c r="O34" i="1"/>
  <c r="M34" i="1"/>
  <c r="K34" i="1"/>
  <c r="K52" i="1" s="1"/>
  <c r="J34" i="1"/>
  <c r="H34" i="1"/>
  <c r="M52" i="1" l="1"/>
  <c r="Q52" i="1"/>
  <c r="W34" i="1"/>
</calcChain>
</file>

<file path=xl/sharedStrings.xml><?xml version="1.0" encoding="utf-8"?>
<sst xmlns="http://schemas.openxmlformats.org/spreadsheetml/2006/main" count="1614" uniqueCount="639">
  <si>
    <t xml:space="preserve">2027학년도 교육과정 편제 및 학점배당표(마이스터고/특성화고) </t>
  </si>
  <si>
    <t>입학년도</t>
  </si>
  <si>
    <t>시도명</t>
  </si>
  <si>
    <t>학교명</t>
  </si>
  <si>
    <t>교과군</t>
  </si>
  <si>
    <t>기준학과1</t>
  </si>
  <si>
    <t>기준학과2</t>
  </si>
  <si>
    <t>학과</t>
  </si>
  <si>
    <t>학과명</t>
  </si>
  <si>
    <t>과정</t>
  </si>
  <si>
    <t>인력양성유형</t>
  </si>
  <si>
    <t>충남</t>
  </si>
  <si>
    <t>병천고</t>
  </si>
  <si>
    <t>미용</t>
  </si>
  <si>
    <t>미용과</t>
  </si>
  <si>
    <t>일반</t>
  </si>
  <si>
    <t>헤어디자이너
 피부관리사</t>
  </si>
  <si>
    <t>교과영역</t>
  </si>
  <si>
    <t>교과(군)</t>
  </si>
  <si>
    <t>과목</t>
  </si>
  <si>
    <t>기준 
 학점</t>
  </si>
  <si>
    <t>운영
 가능
 학점</t>
  </si>
  <si>
    <t>운영
 학점</t>
  </si>
  <si>
    <t>1학년</t>
  </si>
  <si>
    <t>2학년</t>
  </si>
  <si>
    <t>3학년</t>
  </si>
  <si>
    <t>이수
 학점</t>
  </si>
  <si>
    <t>필수
 이수
 학점</t>
  </si>
  <si>
    <t>구분</t>
  </si>
  <si>
    <t>과목명</t>
  </si>
  <si>
    <t>1학기</t>
  </si>
  <si>
    <t>2학기</t>
  </si>
  <si>
    <t>보통</t>
  </si>
  <si>
    <t>국어</t>
  </si>
  <si>
    <t>공통</t>
  </si>
  <si>
    <t>공통국어1</t>
  </si>
  <si>
    <t>3~4</t>
  </si>
  <si>
    <t>공통국어2</t>
  </si>
  <si>
    <t>일반선택</t>
  </si>
  <si>
    <t>문학</t>
  </si>
  <si>
    <t>3~5</t>
  </si>
  <si>
    <t>수학</t>
  </si>
  <si>
    <t>공통수학1</t>
  </si>
  <si>
    <t>공통수학2</t>
  </si>
  <si>
    <t>확률과 통계</t>
  </si>
  <si>
    <t>영어</t>
  </si>
  <si>
    <t>공통영어1</t>
  </si>
  <si>
    <t>공통영어2</t>
  </si>
  <si>
    <t>영어1</t>
  </si>
  <si>
    <t>사회(역사/도덕 포함)</t>
  </si>
  <si>
    <t>한국사1</t>
  </si>
  <si>
    <t>병천고등학교</t>
  </si>
  <si>
    <t>3~</t>
  </si>
  <si>
    <t>식품조리</t>
  </si>
  <si>
    <t>조리과</t>
  </si>
  <si>
    <t>한국사2</t>
  </si>
  <si>
    <t>통합사회1</t>
  </si>
  <si>
    <t>통합사회2</t>
  </si>
  <si>
    <t>과학</t>
  </si>
  <si>
    <t>통합과학1</t>
  </si>
  <si>
    <t>통합과학2</t>
  </si>
  <si>
    <t>화학</t>
  </si>
  <si>
    <t>체육</t>
  </si>
  <si>
    <t>체육1</t>
  </si>
  <si>
    <t>2~4</t>
  </si>
  <si>
    <t>체육2</t>
  </si>
  <si>
    <t>융합선택</t>
  </si>
  <si>
    <t>스포츠 생활1</t>
  </si>
  <si>
    <t>스포츠 생활2</t>
  </si>
  <si>
    <t>예술</t>
  </si>
  <si>
    <t>미술</t>
  </si>
  <si>
    <t>진로선택</t>
  </si>
  <si>
    <t>미술창작</t>
  </si>
  <si>
    <t>기술·가정/정보/제2외국어/한문/교양</t>
  </si>
  <si>
    <t>정보</t>
  </si>
  <si>
    <t>인공지능 기초</t>
  </si>
  <si>
    <t>합계</t>
  </si>
  <si>
    <t>전공일반</t>
  </si>
  <si>
    <t>조리사
 제과제빵사</t>
  </si>
  <si>
    <t>전공실무</t>
  </si>
  <si>
    <t>메이크업</t>
  </si>
  <si>
    <t>네일미용</t>
  </si>
  <si>
    <t>피부미용</t>
  </si>
  <si>
    <t>헤어미용</t>
  </si>
  <si>
    <t>*응용네일</t>
  </si>
  <si>
    <t>전공
 선택
 (택1)</t>
  </si>
  <si>
    <t>총이수 합계</t>
  </si>
  <si>
    <t>창의적체험활동</t>
  </si>
  <si>
    <t>자율·자치활동</t>
  </si>
  <si>
    <t>동아리활동</t>
  </si>
  <si>
    <t>진로활동</t>
  </si>
  <si>
    <t>학기별 이수학점</t>
  </si>
  <si>
    <t>생명과학</t>
  </si>
  <si>
    <t>전문</t>
  </si>
  <si>
    <t>전문공통</t>
  </si>
  <si>
    <t>식품·조리</t>
  </si>
  <si>
    <t>양식조리</t>
  </si>
  <si>
    <t>제과</t>
  </si>
  <si>
    <t>한식조리</t>
  </si>
  <si>
    <t>미용의 기초
(기술·가정 대체)</t>
  </si>
  <si>
    <t>제빵</t>
  </si>
  <si>
    <t>미용의 기초
또는 성직을 3단위로 편성</t>
  </si>
  <si>
    <t>바텐더</t>
  </si>
  <si>
    <t>바리스타</t>
  </si>
  <si>
    <t>노동 인권과 산업 안전 보건</t>
  </si>
  <si>
    <t>신규편성</t>
  </si>
  <si>
    <t>성공적인 직업 생활</t>
  </si>
  <si>
    <t>기존 3학년 2학기</t>
  </si>
  <si>
    <t>네일 미용</t>
  </si>
  <si>
    <t>*응용 제빵</t>
  </si>
  <si>
    <t>*응용 제과</t>
  </si>
  <si>
    <t>기존1학기 4</t>
  </si>
  <si>
    <t>피부 미용</t>
  </si>
  <si>
    <t>*파티시에 실무</t>
  </si>
  <si>
    <t>헤어 미용</t>
  </si>
  <si>
    <t>*메이크업 현장실무</t>
  </si>
  <si>
    <t>기존 1학기 5</t>
  </si>
  <si>
    <t>헤어디자이너
코스</t>
  </si>
  <si>
    <t>*헤어 미용 현장실무</t>
  </si>
  <si>
    <t>피부관리사
코스</t>
  </si>
  <si>
    <t>*피부 미용 현장실무</t>
  </si>
  <si>
    <t>* 고시외 과목 (사용 승인 신청 중)</t>
  </si>
  <si>
    <t>식품과 영양
(기술·가정 대체)</t>
  </si>
  <si>
    <t>기초 조리</t>
  </si>
  <si>
    <t>양식 조리</t>
  </si>
  <si>
    <t xml:space="preserve">한식 조리 </t>
  </si>
  <si>
    <t>떡제조</t>
  </si>
  <si>
    <t>조리사
코스</t>
  </si>
  <si>
    <t>중식 조리</t>
  </si>
  <si>
    <t>일식 조리</t>
  </si>
  <si>
    <t>식공간 연출</t>
  </si>
  <si>
    <t>제과제빵사
코스</t>
  </si>
  <si>
    <t>이수학점</t>
  </si>
  <si>
    <t xml:space="preserve">실무과목 능력단위 편성표 </t>
  </si>
  <si>
    <t>실무과목</t>
  </si>
  <si>
    <t>내용영역(능력단위)</t>
  </si>
  <si>
    <t>능력단위코드</t>
  </si>
  <si>
    <t>훈련시간</t>
  </si>
  <si>
    <t>능력단위 수준</t>
  </si>
  <si>
    <t>이수학점 
 합계</t>
  </si>
  <si>
    <t>이수시간 
 합계</t>
  </si>
  <si>
    <t>이수시간</t>
  </si>
  <si>
    <t>양식 샌드위치조리</t>
  </si>
  <si>
    <t>1301010217_21v4</t>
  </si>
  <si>
    <t>양식 수프조리</t>
  </si>
  <si>
    <t>1301010204_21v4</t>
  </si>
  <si>
    <t>양식소스 조리</t>
  </si>
  <si>
    <t>1301010203_21v4</t>
  </si>
  <si>
    <t>내용영역 합계</t>
  </si>
  <si>
    <t>과자류 제품 위생안전관리</t>
  </si>
  <si>
    <t>2102010108_18v4</t>
  </si>
  <si>
    <t>과자류 제품 재료구매관리</t>
  </si>
  <si>
    <t>2102010109_18v4</t>
  </si>
  <si>
    <t>장식케이크 만들기</t>
  </si>
  <si>
    <t>2102010115_23v2</t>
  </si>
  <si>
    <t>한식 밥조리</t>
  </si>
  <si>
    <t>1301010121_21v4</t>
  </si>
  <si>
    <t>한식 생채 ·회조리</t>
  </si>
  <si>
    <t>1301010129_21v4</t>
  </si>
  <si>
    <t>한식 전 ·적조리</t>
  </si>
  <si>
    <t>1301010127_21v4</t>
  </si>
  <si>
    <t>한식 구이조리</t>
  </si>
  <si>
    <t>1301010109_21v4</t>
  </si>
  <si>
    <t>한식 시수 증가</t>
  </si>
  <si>
    <t>빵류 제품 스트레이트 반죽</t>
  </si>
  <si>
    <t>2102010214_23v5</t>
  </si>
  <si>
    <t>빵류 제품 반죽 발효</t>
  </si>
  <si>
    <t>2102010203_18v4</t>
  </si>
  <si>
    <t>빵류 제품 재료구매관리</t>
  </si>
  <si>
    <t>2102010210_18v4</t>
  </si>
  <si>
    <t>빵류 제품 반죽 정형</t>
  </si>
  <si>
    <t>2102010204_18v4</t>
  </si>
  <si>
    <t>빵류 제품 위생안전관리</t>
  </si>
  <si>
    <t>2102010209_18v4</t>
  </si>
  <si>
    <t>빵류 제품 반죽 익힘</t>
  </si>
  <si>
    <t>2102010205_18v3</t>
  </si>
  <si>
    <t>조리빵 만들기</t>
  </si>
  <si>
    <t>2102010218_23v2</t>
  </si>
  <si>
    <t>빵류 제품 반죽 마무리</t>
  </si>
  <si>
    <t>2102010206_18v3</t>
  </si>
  <si>
    <t>시수 증가 능력단위 바뀜</t>
  </si>
  <si>
    <t>떡 기초 제조 실무</t>
  </si>
  <si>
    <t>2102010327_24v2</t>
  </si>
  <si>
    <t>인절미류 만들기</t>
  </si>
  <si>
    <t>2102010309_24v4</t>
  </si>
  <si>
    <t>설기떡류 만들기</t>
  </si>
  <si>
    <t>2102010301_18v2</t>
  </si>
  <si>
    <t>칵테일조주 실무</t>
  </si>
  <si>
    <t>1301020411_23v4</t>
  </si>
  <si>
    <t>에스프레스추출</t>
  </si>
  <si>
    <t>1301020314_23v4</t>
  </si>
  <si>
    <t>중식조리
 (조리사 양성코스)</t>
  </si>
  <si>
    <t>중식 육수·소스조리</t>
  </si>
  <si>
    <t>1301010303_21v4</t>
  </si>
  <si>
    <t>중식 볶음조리</t>
  </si>
  <si>
    <t>1301010307_21v4</t>
  </si>
  <si>
    <t>중식 면조리</t>
  </si>
  <si>
    <t>1301010312_21v4</t>
  </si>
  <si>
    <t>중식 튀김조리</t>
  </si>
  <si>
    <t>1301010308_21v4</t>
  </si>
  <si>
    <t>일식조리
 (조리사 양성코스)</t>
  </si>
  <si>
    <t>일식 조림 조리</t>
  </si>
  <si>
    <t>1301010406_21v4</t>
  </si>
  <si>
    <t>일식 찜 조리</t>
  </si>
  <si>
    <t>1301010407_21v4</t>
  </si>
  <si>
    <t>일식 냄비조리</t>
  </si>
  <si>
    <t>1301010405_21v4</t>
  </si>
  <si>
    <t>일식 국물조리</t>
  </si>
  <si>
    <t>1301010404_21v4</t>
  </si>
  <si>
    <t>식공간 연출
 (조리사 양성코스)</t>
  </si>
  <si>
    <t>서양 테이블 코디네이트</t>
  </si>
  <si>
    <t>1301020504_16v1</t>
  </si>
  <si>
    <t>연회조리</t>
  </si>
  <si>
    <t>1301010220_21v2</t>
  </si>
  <si>
    <t>동양 테이블 코디네이트</t>
  </si>
  <si>
    <t>1301020510_24v2</t>
  </si>
  <si>
    <t>한식 찜 · 선조리</t>
  </si>
  <si>
    <t>1301010106_21v4</t>
  </si>
  <si>
    <t>*응용제빵
(제과제빵사
양성코스)</t>
  </si>
  <si>
    <t>식빵류 만들기</t>
  </si>
  <si>
    <t>2102010221_23v1</t>
  </si>
  <si>
    <t>단과자빵류 만들기</t>
  </si>
  <si>
    <t>2102010222_23v1</t>
  </si>
  <si>
    <t>하드계열빵류 만들기</t>
  </si>
  <si>
    <t>2102010223_23v1</t>
  </si>
  <si>
    <t>냉동빵 가공</t>
  </si>
  <si>
    <t>2102010207_23v5</t>
  </si>
  <si>
    <t>베이커리경영</t>
  </si>
  <si>
    <t>2102010212_18v3</t>
  </si>
  <si>
    <t>추가</t>
  </si>
  <si>
    <t>*응용제과
(제과제빵사
양성코스)</t>
  </si>
  <si>
    <t>구움 과자류 만들기</t>
  </si>
  <si>
    <t>2102010118_23v1</t>
  </si>
  <si>
    <t>타르트·파이류 만들기</t>
  </si>
  <si>
    <t>2102010119_23v1</t>
  </si>
  <si>
    <t>찹쌀떡화과자만들기</t>
  </si>
  <si>
    <t>2102010114_23v2</t>
  </si>
  <si>
    <t>기본 케이크류 만들기</t>
  </si>
  <si>
    <t>2102010117_23v1</t>
  </si>
  <si>
    <t>*파티시에 실무
(제과제빵사
양성코스)</t>
  </si>
  <si>
    <t>초콜릿제품 만들기</t>
  </si>
  <si>
    <t>2102010113_23v2</t>
  </si>
  <si>
    <t>양식 디저트 조리</t>
  </si>
  <si>
    <t>1301010219_21v2</t>
  </si>
  <si>
    <t>푸드플레이팅</t>
  </si>
  <si>
    <t xml:space="preserve">1301010221_21v2        </t>
  </si>
  <si>
    <t>2027학년도 미용과 신입생 실무과목 능력단위 편성표 (6.16수정) → 10.08 수정</t>
  </si>
  <si>
    <t>내용영역(능력단위)
  (변경후)</t>
  </si>
  <si>
    <t>능력단위코드
  (변경후)</t>
  </si>
  <si>
    <t>훈련
 시간</t>
  </si>
  <si>
    <t>능력
 단위
 수준</t>
  </si>
  <si>
    <t>이수
 학점 
 합계</t>
  </si>
  <si>
    <t>이수
 시간 
 합계</t>
  </si>
  <si>
    <t>학습 모듈명
  (능력단위를 포함하는 교과서명)</t>
  </si>
  <si>
    <t>비고란</t>
  </si>
  <si>
    <t>메이크업 고객 관리 서비스</t>
  </si>
  <si>
    <t>1201010344_19v5</t>
  </si>
  <si>
    <t>메이크업 위생 및 고객 관리</t>
  </si>
  <si>
    <t>변경</t>
  </si>
  <si>
    <t>색조 메이크업</t>
  </si>
  <si>
    <t>1201010346_19v5</t>
  </si>
  <si>
    <t>베이직메이크업</t>
  </si>
  <si>
    <t>웨딩 이미지 제안</t>
  </si>
  <si>
    <t>1201010321_19v5</t>
  </si>
  <si>
    <t>웨딩메이크업</t>
  </si>
  <si>
    <t>웨딩 메이크업</t>
  </si>
  <si>
    <t>1201010347_19v5</t>
  </si>
  <si>
    <t>손발 기본 관리</t>
  </si>
  <si>
    <t>1201010415_23v5</t>
  </si>
  <si>
    <t>네일기본관리</t>
  </si>
  <si>
    <t>이수시간 수정 2→1</t>
  </si>
  <si>
    <t>젤 네일</t>
  </si>
  <si>
    <t>1201010406_23v5</t>
  </si>
  <si>
    <t>기초팁 네일</t>
  </si>
  <si>
    <t>1201010451_23v5</t>
  </si>
  <si>
    <t>기초 팁 네일</t>
  </si>
  <si>
    <t>아크릴 네일</t>
  </si>
  <si>
    <t>1201010407_23v5</t>
  </si>
  <si>
    <t>피부미용 얼굴각질관리</t>
  </si>
  <si>
    <t>1201010212_19v5</t>
  </si>
  <si>
    <t>피부미용 얼굴 매뉴얼 테크닉</t>
  </si>
  <si>
    <t>1201010213_20v6</t>
  </si>
  <si>
    <t>피부미용 얼굴 매뉴얼테크닉</t>
  </si>
  <si>
    <t>피부미용 얼굴 팩·마스크</t>
  </si>
  <si>
    <t>1201010214_19v5</t>
  </si>
  <si>
    <t>피부미용 얼굴팩·마스크</t>
  </si>
  <si>
    <t>피부미용 림프관리</t>
  </si>
  <si>
    <t>1201010227_20v5</t>
  </si>
  <si>
    <t>콜드펌</t>
  </si>
  <si>
    <t>1201010159_21v6</t>
  </si>
  <si>
    <t xml:space="preserve"> 헤어펌</t>
  </si>
  <si>
    <t>원랭스 헤어커트</t>
  </si>
  <si>
    <t>1201010128_21v5</t>
  </si>
  <si>
    <t>헤어커트</t>
  </si>
  <si>
    <t>블로우드라이 스타일</t>
  </si>
  <si>
    <t>1201010157_21v5</t>
  </si>
  <si>
    <t>헤어스타일</t>
  </si>
  <si>
    <t xml:space="preserve"> 헤어샴푸</t>
  </si>
  <si>
    <t>1201010156_21v6</t>
  </si>
  <si>
    <t>헤어 샴푸와 클리닉</t>
  </si>
  <si>
    <t>*메이크업
 현장실무</t>
  </si>
  <si>
    <t>패션 이미지 메이크업</t>
  </si>
  <si>
    <t>1201010341_19v3</t>
  </si>
  <si>
    <t>트랜드 메이크업</t>
  </si>
  <si>
    <t>스킨아트 메이크업</t>
  </si>
  <si>
    <t>1201010337_19v5</t>
  </si>
  <si>
    <t>아트 메이크업</t>
  </si>
  <si>
    <t>1201010333_19v5</t>
  </si>
  <si>
    <t>스킨아트 문양 디자인</t>
  </si>
  <si>
    <t>1201010336_19v5</t>
  </si>
  <si>
    <t>이수시간 수정 (1학기 5→4, 2학기 6→7)</t>
  </si>
  <si>
    <t>융합 네일아트</t>
  </si>
  <si>
    <t>1201010431_16v3</t>
  </si>
  <si>
    <t>네일 장식물 활용</t>
  </si>
  <si>
    <t>1201010424_23v4</t>
  </si>
  <si>
    <t>입체 네일아트</t>
  </si>
  <si>
    <t>1201010455_23v4</t>
  </si>
  <si>
    <t>네일 디자인 일러스트레이션</t>
  </si>
  <si>
    <t>1201010452_23v3</t>
  </si>
  <si>
    <t>네일 드릴 활용</t>
  </si>
  <si>
    <t>1201010445_23v3</t>
  </si>
  <si>
    <t>네일 드릴 활용
  (고시외_네일 드릴)</t>
  </si>
  <si>
    <t>*헤어미용
 현장실무
  (헤어디자이너
 양성코스)</t>
  </si>
  <si>
    <t>쇼트 헤어 커트</t>
  </si>
  <si>
    <t>1201010133_21v5</t>
  </si>
  <si>
    <t>쇼트헤어커트</t>
  </si>
  <si>
    <t>그레이 헤어 컬러</t>
  </si>
  <si>
    <t>1201010126_21v5</t>
  </si>
  <si>
    <t>헤어컬러 베이직</t>
  </si>
  <si>
    <t>손상모 특수 관리</t>
  </si>
  <si>
    <t>1201010162_21v5</t>
  </si>
  <si>
    <t>모듈 추가 및 이수시간 수정</t>
  </si>
  <si>
    <t>미용업소 제품 사용관리</t>
  </si>
  <si>
    <t>1201010160_21v5</t>
  </si>
  <si>
    <t>헤어 펌 디자인</t>
  </si>
  <si>
    <t>1201010164_21v5</t>
  </si>
  <si>
    <t>헤어펌 디자인</t>
  </si>
  <si>
    <t>미용 고객 상담</t>
  </si>
  <si>
    <t>1201010130_21v5</t>
  </si>
  <si>
    <t>미용업 안전과 서비스</t>
  </si>
  <si>
    <t>*피부미용
 현장실무
 (피부관리사
 양성코스)</t>
  </si>
  <si>
    <t>피부미용 몸매분석</t>
  </si>
  <si>
    <t>1201010215_20v6</t>
  </si>
  <si>
    <t>피부미용 아로마 테라피</t>
  </si>
  <si>
    <t>1201010223_20v5</t>
  </si>
  <si>
    <t>피부미용 아로마테라피</t>
  </si>
  <si>
    <t>피부미용 몸매 각질 관리</t>
  </si>
  <si>
    <t>1201010216_19v5</t>
  </si>
  <si>
    <t>피부미용 필수 기구 활용</t>
  </si>
  <si>
    <t>1201010231_19v4</t>
  </si>
  <si>
    <t>피부미용 필수기구 활용</t>
  </si>
  <si>
    <t>피부미용 뱀부 테라피</t>
  </si>
  <si>
    <t>1201010226_20v5</t>
  </si>
  <si>
    <t>피부미용 뱀부(대나무)테라피</t>
  </si>
  <si>
    <t>피부미용 스톤테라피</t>
  </si>
  <si>
    <t>1201010225_20v5</t>
  </si>
  <si>
    <t>담당자
연락처</t>
    <phoneticPr fontId="36" type="noConversion"/>
  </si>
  <si>
    <t>직</t>
    <phoneticPr fontId="36" type="noConversion"/>
  </si>
  <si>
    <t>성명</t>
    <phoneticPr fontId="36" type="noConversion"/>
  </si>
  <si>
    <t>내선번호</t>
    <phoneticPr fontId="36" type="noConversion"/>
  </si>
  <si>
    <t>교감</t>
    <phoneticPr fontId="36" type="noConversion"/>
  </si>
  <si>
    <t>교육과정부장</t>
    <phoneticPr fontId="36" type="noConversion"/>
  </si>
  <si>
    <t>교육과정담당</t>
    <phoneticPr fontId="36" type="noConversion"/>
  </si>
  <si>
    <t>정금심</t>
    <phoneticPr fontId="36" type="noConversion"/>
  </si>
  <si>
    <t>김에와</t>
    <phoneticPr fontId="36" type="noConversion"/>
  </si>
  <si>
    <t>과목명</t>
    <phoneticPr fontId="36" type="noConversion"/>
  </si>
  <si>
    <t>구분</t>
    <phoneticPr fontId="43" type="noConversion"/>
  </si>
  <si>
    <t>교과군</t>
    <phoneticPr fontId="43" type="noConversion"/>
  </si>
  <si>
    <t>구분</t>
    <phoneticPr fontId="36" type="noConversion"/>
  </si>
  <si>
    <t>기준 단위</t>
    <phoneticPr fontId="43" type="noConversion"/>
  </si>
  <si>
    <t>운영가능단위</t>
    <phoneticPr fontId="36" type="noConversion"/>
  </si>
  <si>
    <t>시·도</t>
    <phoneticPr fontId="36" type="noConversion"/>
  </si>
  <si>
    <t>교과군</t>
    <phoneticPr fontId="36" type="noConversion"/>
  </si>
  <si>
    <t>기준학과1</t>
    <phoneticPr fontId="36" type="noConversion"/>
  </si>
  <si>
    <t>기준학과2</t>
    <phoneticPr fontId="36" type="noConversion"/>
  </si>
  <si>
    <t>과정</t>
    <phoneticPr fontId="36" type="noConversion"/>
  </si>
  <si>
    <t>공통국어1</t>
    <phoneticPr fontId="36" type="noConversion"/>
  </si>
  <si>
    <t>보통교과</t>
    <phoneticPr fontId="36" type="noConversion"/>
  </si>
  <si>
    <t>국어</t>
    <phoneticPr fontId="36" type="noConversion"/>
  </si>
  <si>
    <t>공통</t>
    <phoneticPr fontId="36" type="noConversion"/>
  </si>
  <si>
    <t>3~4</t>
    <phoneticPr fontId="36" type="noConversion"/>
  </si>
  <si>
    <t>서울</t>
    <phoneticPr fontId="36" type="noConversion"/>
  </si>
  <si>
    <t>경영·금융</t>
    <phoneticPr fontId="36" type="noConversion"/>
  </si>
  <si>
    <t>경영사무과</t>
    <phoneticPr fontId="36" type="noConversion"/>
  </si>
  <si>
    <t>일반</t>
    <phoneticPr fontId="36" type="noConversion"/>
  </si>
  <si>
    <t>공통국어2</t>
    <phoneticPr fontId="36" type="noConversion"/>
  </si>
  <si>
    <t>부산</t>
    <phoneticPr fontId="36" type="noConversion"/>
  </si>
  <si>
    <t>보건·복지</t>
    <phoneticPr fontId="36" type="noConversion"/>
  </si>
  <si>
    <t>세무회계과</t>
    <phoneticPr fontId="36" type="noConversion"/>
  </si>
  <si>
    <t>도제</t>
    <phoneticPr fontId="36" type="noConversion"/>
  </si>
  <si>
    <t>화법과 언어</t>
    <phoneticPr fontId="36" type="noConversion"/>
  </si>
  <si>
    <t>3~5</t>
    <phoneticPr fontId="36" type="noConversion"/>
  </si>
  <si>
    <t>대구</t>
    <phoneticPr fontId="36" type="noConversion"/>
  </si>
  <si>
    <t>문화예술디자인방송</t>
    <phoneticPr fontId="36" type="noConversion"/>
  </si>
  <si>
    <t>유통과</t>
    <phoneticPr fontId="36" type="noConversion"/>
  </si>
  <si>
    <t>과정평가형</t>
    <phoneticPr fontId="36" type="noConversion"/>
  </si>
  <si>
    <t>독서와 작문</t>
    <phoneticPr fontId="36" type="noConversion"/>
  </si>
  <si>
    <t>인천</t>
    <phoneticPr fontId="36" type="noConversion"/>
  </si>
  <si>
    <t>미용</t>
    <phoneticPr fontId="36" type="noConversion"/>
  </si>
  <si>
    <t>금융정보화</t>
    <phoneticPr fontId="36" type="noConversion"/>
  </si>
  <si>
    <t>문학</t>
    <phoneticPr fontId="36" type="noConversion"/>
  </si>
  <si>
    <t>광주</t>
    <phoneticPr fontId="36" type="noConversion"/>
  </si>
  <si>
    <t>관광레저</t>
    <phoneticPr fontId="36" type="noConversion"/>
  </si>
  <si>
    <t>마케팅과</t>
    <phoneticPr fontId="36" type="noConversion"/>
  </si>
  <si>
    <t>주제탐구독서</t>
    <phoneticPr fontId="36" type="noConversion"/>
  </si>
  <si>
    <t>진로</t>
    <phoneticPr fontId="36" type="noConversion"/>
  </si>
  <si>
    <t>대전</t>
    <phoneticPr fontId="36" type="noConversion"/>
  </si>
  <si>
    <t>식품조리</t>
    <phoneticPr fontId="36" type="noConversion"/>
  </si>
  <si>
    <t>보육과</t>
    <phoneticPr fontId="36" type="noConversion"/>
  </si>
  <si>
    <t>문학과 영상</t>
    <phoneticPr fontId="36" type="noConversion"/>
  </si>
  <si>
    <t>울산</t>
    <phoneticPr fontId="36" type="noConversion"/>
  </si>
  <si>
    <t>건축토목</t>
    <phoneticPr fontId="36" type="noConversion"/>
  </si>
  <si>
    <t>복지과</t>
    <phoneticPr fontId="36" type="noConversion"/>
  </si>
  <si>
    <t>직무의사소통</t>
    <phoneticPr fontId="36" type="noConversion"/>
  </si>
  <si>
    <t>세종</t>
    <phoneticPr fontId="36" type="noConversion"/>
  </si>
  <si>
    <t>기계</t>
    <phoneticPr fontId="36" type="noConversion"/>
  </si>
  <si>
    <t>간호과</t>
    <phoneticPr fontId="36" type="noConversion"/>
  </si>
  <si>
    <t>독서 토론과 글쓰기</t>
    <phoneticPr fontId="36" type="noConversion"/>
  </si>
  <si>
    <t>융합</t>
    <phoneticPr fontId="36" type="noConversion"/>
  </si>
  <si>
    <t>경기</t>
    <phoneticPr fontId="36" type="noConversion"/>
  </si>
  <si>
    <t>재료</t>
    <phoneticPr fontId="36" type="noConversion"/>
  </si>
  <si>
    <t>공예과</t>
    <phoneticPr fontId="36" type="noConversion"/>
  </si>
  <si>
    <t>매체 의사소통</t>
    <phoneticPr fontId="36" type="noConversion"/>
  </si>
  <si>
    <t>강원</t>
    <phoneticPr fontId="36" type="noConversion"/>
  </si>
  <si>
    <t>화학공업</t>
    <phoneticPr fontId="36" type="noConversion"/>
  </si>
  <si>
    <t>디자인과</t>
    <phoneticPr fontId="36" type="noConversion"/>
  </si>
  <si>
    <t>언어생활 탐구</t>
    <phoneticPr fontId="36" type="noConversion"/>
  </si>
  <si>
    <t>충북</t>
    <phoneticPr fontId="36" type="noConversion"/>
  </si>
  <si>
    <t>섬유의류</t>
    <phoneticPr fontId="36" type="noConversion"/>
  </si>
  <si>
    <t>문화콘텐츠과</t>
    <phoneticPr fontId="36" type="noConversion"/>
  </si>
  <si>
    <t>공통수학1</t>
    <phoneticPr fontId="36" type="noConversion"/>
  </si>
  <si>
    <t>수학</t>
    <phoneticPr fontId="36" type="noConversion"/>
  </si>
  <si>
    <t>충남</t>
    <phoneticPr fontId="36" type="noConversion"/>
  </si>
  <si>
    <t>전기·전자</t>
    <phoneticPr fontId="36" type="noConversion"/>
  </si>
  <si>
    <t>방송과</t>
    <phoneticPr fontId="36" type="noConversion"/>
  </si>
  <si>
    <t>공통수학2</t>
    <phoneticPr fontId="36" type="noConversion"/>
  </si>
  <si>
    <t>전북</t>
    <phoneticPr fontId="36" type="noConversion"/>
  </si>
  <si>
    <t>정보·통신</t>
    <phoneticPr fontId="36" type="noConversion"/>
  </si>
  <si>
    <t>미용과</t>
    <phoneticPr fontId="36" type="noConversion"/>
  </si>
  <si>
    <t>대수</t>
    <phoneticPr fontId="36" type="noConversion"/>
  </si>
  <si>
    <t>전남</t>
    <phoneticPr fontId="36" type="noConversion"/>
  </si>
  <si>
    <t>환경안전소방</t>
    <phoneticPr fontId="36" type="noConversion"/>
  </si>
  <si>
    <t>관광과</t>
    <phoneticPr fontId="36" type="noConversion"/>
  </si>
  <si>
    <t>미적분 Ⅰ</t>
    <phoneticPr fontId="36" type="noConversion"/>
  </si>
  <si>
    <t>경북</t>
    <phoneticPr fontId="36" type="noConversion"/>
  </si>
  <si>
    <t>농림수산</t>
    <phoneticPr fontId="36" type="noConversion"/>
  </si>
  <si>
    <t>레저산업과</t>
    <phoneticPr fontId="36" type="noConversion"/>
  </si>
  <si>
    <t>확률과 통계</t>
    <phoneticPr fontId="36" type="noConversion"/>
  </si>
  <si>
    <t>경남</t>
    <phoneticPr fontId="36" type="noConversion"/>
  </si>
  <si>
    <t>수산해운</t>
    <phoneticPr fontId="36" type="noConversion"/>
  </si>
  <si>
    <t>조리과</t>
    <phoneticPr fontId="36" type="noConversion"/>
  </si>
  <si>
    <t>미적분 Ⅱ</t>
    <phoneticPr fontId="36" type="noConversion"/>
  </si>
  <si>
    <t>제주</t>
    <phoneticPr fontId="36" type="noConversion"/>
  </si>
  <si>
    <t>융복합지식재산</t>
    <phoneticPr fontId="36" type="noConversion"/>
  </si>
  <si>
    <t>식음료과</t>
    <phoneticPr fontId="36" type="noConversion"/>
  </si>
  <si>
    <t>기하</t>
    <phoneticPr fontId="36" type="noConversion"/>
  </si>
  <si>
    <t>식품가공과</t>
    <phoneticPr fontId="36" type="noConversion"/>
  </si>
  <si>
    <t>경제수학</t>
    <phoneticPr fontId="36" type="noConversion"/>
  </si>
  <si>
    <t>제과제빵과</t>
    <phoneticPr fontId="36" type="noConversion"/>
  </si>
  <si>
    <t>인공지능 수학</t>
    <phoneticPr fontId="36" type="noConversion"/>
  </si>
  <si>
    <t>토목과</t>
    <phoneticPr fontId="36" type="noConversion"/>
  </si>
  <si>
    <t>직무수학</t>
    <phoneticPr fontId="36" type="noConversion"/>
  </si>
  <si>
    <t>공간정보과</t>
    <phoneticPr fontId="36" type="noConversion"/>
  </si>
  <si>
    <t>수학과 문화</t>
    <phoneticPr fontId="36" type="noConversion"/>
  </si>
  <si>
    <t>건축과</t>
    <phoneticPr fontId="36" type="noConversion"/>
  </si>
  <si>
    <t>실용 통계</t>
    <phoneticPr fontId="36" type="noConversion"/>
  </si>
  <si>
    <t>건축인테리어과</t>
    <phoneticPr fontId="36" type="noConversion"/>
  </si>
  <si>
    <t>수학과제 탐구</t>
    <phoneticPr fontId="36" type="noConversion"/>
  </si>
  <si>
    <t>스마트시트과</t>
    <phoneticPr fontId="36" type="noConversion"/>
  </si>
  <si>
    <t>공통영어1</t>
    <phoneticPr fontId="36" type="noConversion"/>
  </si>
  <si>
    <t>영어</t>
    <phoneticPr fontId="36" type="noConversion"/>
  </si>
  <si>
    <t>기계과</t>
    <phoneticPr fontId="36" type="noConversion"/>
  </si>
  <si>
    <t>공통영어2</t>
    <phoneticPr fontId="36" type="noConversion"/>
  </si>
  <si>
    <t>공조산업설비과</t>
    <phoneticPr fontId="36" type="noConversion"/>
  </si>
  <si>
    <t>영어Ⅰ</t>
    <phoneticPr fontId="36" type="noConversion"/>
  </si>
  <si>
    <t>자동차과</t>
    <phoneticPr fontId="36" type="noConversion"/>
  </si>
  <si>
    <t>영어 독해와 작문</t>
    <phoneticPr fontId="36" type="noConversion"/>
  </si>
  <si>
    <t>조선과</t>
    <phoneticPr fontId="36" type="noConversion"/>
  </si>
  <si>
    <t>영어Ⅱ</t>
    <phoneticPr fontId="36" type="noConversion"/>
  </si>
  <si>
    <t>항공과</t>
    <phoneticPr fontId="36" type="noConversion"/>
  </si>
  <si>
    <t>영미 문학 읽기</t>
    <phoneticPr fontId="36" type="noConversion"/>
  </si>
  <si>
    <t>금속재료과</t>
    <phoneticPr fontId="36" type="noConversion"/>
  </si>
  <si>
    <t>영어 발표와 토론</t>
    <phoneticPr fontId="36" type="noConversion"/>
  </si>
  <si>
    <t>세라믹과</t>
    <phoneticPr fontId="36" type="noConversion"/>
  </si>
  <si>
    <t>직무영어</t>
    <phoneticPr fontId="36" type="noConversion"/>
  </si>
  <si>
    <t>화학공업과</t>
    <phoneticPr fontId="36" type="noConversion"/>
  </si>
  <si>
    <t>심화영어</t>
    <phoneticPr fontId="36" type="noConversion"/>
  </si>
  <si>
    <t>바이오화학공업과</t>
    <phoneticPr fontId="36" type="noConversion"/>
  </si>
  <si>
    <t>심화 영어 독해와 작문</t>
    <phoneticPr fontId="36" type="noConversion"/>
  </si>
  <si>
    <t>에너지화학공업과</t>
    <phoneticPr fontId="36" type="noConversion"/>
  </si>
  <si>
    <t>실생활 영어 회화</t>
    <phoneticPr fontId="36" type="noConversion"/>
  </si>
  <si>
    <t>섬유과</t>
    <phoneticPr fontId="36" type="noConversion"/>
  </si>
  <si>
    <t>미디어 영어</t>
    <phoneticPr fontId="36" type="noConversion"/>
  </si>
  <si>
    <t>의류과</t>
    <phoneticPr fontId="36" type="noConversion"/>
  </si>
  <si>
    <t>세계 문화와 영어</t>
    <phoneticPr fontId="36" type="noConversion"/>
  </si>
  <si>
    <t>전기과</t>
    <phoneticPr fontId="36" type="noConversion"/>
  </si>
  <si>
    <t>한국사1</t>
    <phoneticPr fontId="36" type="noConversion"/>
  </si>
  <si>
    <t>한국사</t>
    <phoneticPr fontId="36" type="noConversion"/>
  </si>
  <si>
    <t>3↑</t>
    <phoneticPr fontId="36" type="noConversion"/>
  </si>
  <si>
    <t>전자과</t>
    <phoneticPr fontId="36" type="noConversion"/>
  </si>
  <si>
    <t>한국사2</t>
    <phoneticPr fontId="36" type="noConversion"/>
  </si>
  <si>
    <t>통신과</t>
    <phoneticPr fontId="36" type="noConversion"/>
  </si>
  <si>
    <t>통합사회1</t>
    <phoneticPr fontId="36" type="noConversion"/>
  </si>
  <si>
    <t>사회</t>
    <phoneticPr fontId="36" type="noConversion"/>
  </si>
  <si>
    <t>정보컴퓨터과</t>
    <phoneticPr fontId="36" type="noConversion"/>
  </si>
  <si>
    <t>통합사회2</t>
    <phoneticPr fontId="36" type="noConversion"/>
  </si>
  <si>
    <t>소프트웨어과</t>
    <phoneticPr fontId="36" type="noConversion"/>
  </si>
  <si>
    <t>세계시민과 지리</t>
    <phoneticPr fontId="36" type="noConversion"/>
  </si>
  <si>
    <t>환경과</t>
    <phoneticPr fontId="36" type="noConversion"/>
  </si>
  <si>
    <t>세계사</t>
    <phoneticPr fontId="36" type="noConversion"/>
  </si>
  <si>
    <t>산업안전과</t>
    <phoneticPr fontId="36" type="noConversion"/>
  </si>
  <si>
    <t>사회와 문화</t>
    <phoneticPr fontId="36" type="noConversion"/>
  </si>
  <si>
    <t>소방과</t>
    <phoneticPr fontId="36" type="noConversion"/>
  </si>
  <si>
    <t>현대사회와 윤리</t>
    <phoneticPr fontId="36" type="noConversion"/>
  </si>
  <si>
    <t>농업과</t>
    <phoneticPr fontId="36" type="noConversion"/>
  </si>
  <si>
    <t>한국지리 탐구</t>
    <phoneticPr fontId="36" type="noConversion"/>
  </si>
  <si>
    <t>원예과</t>
    <phoneticPr fontId="36" type="noConversion"/>
  </si>
  <si>
    <t>도시의 미래 탐구</t>
    <phoneticPr fontId="36" type="noConversion"/>
  </si>
  <si>
    <t>산림자원과</t>
    <phoneticPr fontId="36" type="noConversion"/>
  </si>
  <si>
    <t>동아시아 주제 탐구</t>
    <phoneticPr fontId="36" type="noConversion"/>
  </si>
  <si>
    <t>동물자원과</t>
    <phoneticPr fontId="36" type="noConversion"/>
  </si>
  <si>
    <t>정치</t>
    <phoneticPr fontId="36" type="noConversion"/>
  </si>
  <si>
    <t>농업기계과</t>
    <phoneticPr fontId="36" type="noConversion"/>
  </si>
  <si>
    <t>경제</t>
    <phoneticPr fontId="36" type="noConversion"/>
  </si>
  <si>
    <t>농업토목과</t>
    <phoneticPr fontId="36" type="noConversion"/>
  </si>
  <si>
    <t>법과 사회</t>
    <phoneticPr fontId="36" type="noConversion"/>
  </si>
  <si>
    <t>족경과</t>
    <phoneticPr fontId="36" type="noConversion"/>
  </si>
  <si>
    <t>윤리와 사상</t>
    <phoneticPr fontId="36" type="noConversion"/>
  </si>
  <si>
    <t>해양생산과</t>
    <phoneticPr fontId="36" type="noConversion"/>
  </si>
  <si>
    <t>인문학과 윤리</t>
    <phoneticPr fontId="36" type="noConversion"/>
  </si>
  <si>
    <t>수산양식과</t>
    <phoneticPr fontId="36" type="noConversion"/>
  </si>
  <si>
    <t>국제 관계의 이해</t>
    <phoneticPr fontId="36" type="noConversion"/>
  </si>
  <si>
    <t>해양레저과</t>
    <phoneticPr fontId="36" type="noConversion"/>
  </si>
  <si>
    <t>여행지리</t>
    <phoneticPr fontId="36" type="noConversion"/>
  </si>
  <si>
    <t>항해과</t>
    <phoneticPr fontId="36" type="noConversion"/>
  </si>
  <si>
    <t>사회문제 탐구</t>
    <phoneticPr fontId="36" type="noConversion"/>
  </si>
  <si>
    <t>기관과</t>
    <phoneticPr fontId="36" type="noConversion"/>
  </si>
  <si>
    <t>역사로 탐구하는 현대세계</t>
    <phoneticPr fontId="36" type="noConversion"/>
  </si>
  <si>
    <t>스마트공장과</t>
    <phoneticPr fontId="36" type="noConversion"/>
  </si>
  <si>
    <t>금융과 경제생활</t>
    <phoneticPr fontId="36" type="noConversion"/>
  </si>
  <si>
    <t>발명특허과</t>
    <phoneticPr fontId="36" type="noConversion"/>
  </si>
  <si>
    <t>윤리문제 탐구</t>
    <phoneticPr fontId="36" type="noConversion"/>
  </si>
  <si>
    <t>기후 변화와 지속가능한 세계</t>
    <phoneticPr fontId="36" type="noConversion"/>
  </si>
  <si>
    <t>통합과학1</t>
    <phoneticPr fontId="36" type="noConversion"/>
  </si>
  <si>
    <t>과학</t>
    <phoneticPr fontId="36" type="noConversion"/>
  </si>
  <si>
    <t>통합과학2</t>
    <phoneticPr fontId="36" type="noConversion"/>
  </si>
  <si>
    <t>과학탐구실험1</t>
    <phoneticPr fontId="36" type="noConversion"/>
  </si>
  <si>
    <t>과학탐구실험2</t>
    <phoneticPr fontId="36" type="noConversion"/>
  </si>
  <si>
    <t>물리학</t>
    <phoneticPr fontId="36" type="noConversion"/>
  </si>
  <si>
    <t>화학</t>
    <phoneticPr fontId="36" type="noConversion"/>
  </si>
  <si>
    <t>생명과학</t>
    <phoneticPr fontId="36" type="noConversion"/>
  </si>
  <si>
    <t>지구과학</t>
    <phoneticPr fontId="36" type="noConversion"/>
  </si>
  <si>
    <t>역학과 에너지</t>
    <phoneticPr fontId="36" type="noConversion"/>
  </si>
  <si>
    <t>전자기와 빛</t>
    <phoneticPr fontId="36" type="noConversion"/>
  </si>
  <si>
    <t>물질과 에너지</t>
    <phoneticPr fontId="36" type="noConversion"/>
  </si>
  <si>
    <t>화학반응의 세계</t>
    <phoneticPr fontId="36" type="noConversion"/>
  </si>
  <si>
    <t>세포와 물질대사</t>
    <phoneticPr fontId="36" type="noConversion"/>
  </si>
  <si>
    <t>생물의 유전</t>
    <phoneticPr fontId="36" type="noConversion"/>
  </si>
  <si>
    <t>지구시스템과학</t>
    <phoneticPr fontId="36" type="noConversion"/>
  </si>
  <si>
    <t>행성우주과학</t>
    <phoneticPr fontId="36" type="noConversion"/>
  </si>
  <si>
    <t>과학의 역사와 문화</t>
    <phoneticPr fontId="36" type="noConversion"/>
  </si>
  <si>
    <t>기후 변화와 환경생태</t>
    <phoneticPr fontId="36" type="noConversion"/>
  </si>
  <si>
    <t>융합과학 탐구</t>
    <phoneticPr fontId="36" type="noConversion"/>
  </si>
  <si>
    <t>체육 Ⅰ</t>
    <phoneticPr fontId="36" type="noConversion"/>
  </si>
  <si>
    <t>체육</t>
    <phoneticPr fontId="36" type="noConversion"/>
  </si>
  <si>
    <t>2~4</t>
    <phoneticPr fontId="36" type="noConversion"/>
  </si>
  <si>
    <t>운동과 건강 Ⅰ</t>
    <phoneticPr fontId="36" type="noConversion"/>
  </si>
  <si>
    <t>체육Ⅱ</t>
    <phoneticPr fontId="36" type="noConversion"/>
  </si>
  <si>
    <t>운동과 건강Ⅱ</t>
    <phoneticPr fontId="36" type="noConversion"/>
  </si>
  <si>
    <t>체육 탐구</t>
    <phoneticPr fontId="36" type="noConversion"/>
  </si>
  <si>
    <t>1~2</t>
    <phoneticPr fontId="36" type="noConversion"/>
  </si>
  <si>
    <t>스프츠생활</t>
    <phoneticPr fontId="36" type="noConversion"/>
  </si>
  <si>
    <t>스포츠 활동과 분석</t>
    <phoneticPr fontId="36" type="noConversion"/>
  </si>
  <si>
    <t>음악</t>
    <phoneticPr fontId="36" type="noConversion"/>
  </si>
  <si>
    <t>예술</t>
    <phoneticPr fontId="36" type="noConversion"/>
  </si>
  <si>
    <t>미술</t>
    <phoneticPr fontId="36" type="noConversion"/>
  </si>
  <si>
    <t>연극</t>
    <phoneticPr fontId="36" type="noConversion"/>
  </si>
  <si>
    <t>음악 연주와 창작</t>
    <phoneticPr fontId="36" type="noConversion"/>
  </si>
  <si>
    <t>음악 감상과 비평</t>
    <phoneticPr fontId="36" type="noConversion"/>
  </si>
  <si>
    <t>미술 창작</t>
    <phoneticPr fontId="36" type="noConversion"/>
  </si>
  <si>
    <t>미술 감상과 비평</t>
    <phoneticPr fontId="36" type="noConversion"/>
  </si>
  <si>
    <t>음악과 미디어</t>
    <phoneticPr fontId="36" type="noConversion"/>
  </si>
  <si>
    <t>미술과 매체</t>
    <phoneticPr fontId="36" type="noConversion"/>
  </si>
  <si>
    <t>기술·가정</t>
    <phoneticPr fontId="36" type="noConversion"/>
  </si>
  <si>
    <t>정보</t>
    <phoneticPr fontId="36" type="noConversion"/>
  </si>
  <si>
    <t>로봇과 공학세계</t>
    <phoneticPr fontId="36" type="noConversion"/>
  </si>
  <si>
    <t>가족과 가정생활</t>
    <phoneticPr fontId="36" type="noConversion"/>
  </si>
  <si>
    <t>인공지능 기초</t>
    <phoneticPr fontId="36" type="noConversion"/>
  </si>
  <si>
    <t>데이터 과학</t>
    <phoneticPr fontId="36" type="noConversion"/>
  </si>
  <si>
    <t>창의 공학 설계</t>
    <phoneticPr fontId="36" type="noConversion"/>
  </si>
  <si>
    <t>지식 재산 일반</t>
    <phoneticPr fontId="36" type="noConversion"/>
  </si>
  <si>
    <t>생애 설계와 자립</t>
    <phoneticPr fontId="36" type="noConversion"/>
  </si>
  <si>
    <t>아동발달과 부모</t>
    <phoneticPr fontId="36" type="noConversion"/>
  </si>
  <si>
    <t>소프트웨워와 생활</t>
    <phoneticPr fontId="36" type="noConversion"/>
  </si>
  <si>
    <t>독일어</t>
    <phoneticPr fontId="36" type="noConversion"/>
  </si>
  <si>
    <t>제2외국어</t>
    <phoneticPr fontId="36" type="noConversion"/>
  </si>
  <si>
    <t>프랑스어</t>
    <phoneticPr fontId="36" type="noConversion"/>
  </si>
  <si>
    <t>스페인어</t>
    <phoneticPr fontId="36" type="noConversion"/>
  </si>
  <si>
    <t>중국어</t>
    <phoneticPr fontId="36" type="noConversion"/>
  </si>
  <si>
    <t>일본어</t>
    <phoneticPr fontId="36" type="noConversion"/>
  </si>
  <si>
    <t>러시아어</t>
    <phoneticPr fontId="36" type="noConversion"/>
  </si>
  <si>
    <t>아랍어</t>
    <phoneticPr fontId="36" type="noConversion"/>
  </si>
  <si>
    <t>베트남어</t>
    <phoneticPr fontId="36" type="noConversion"/>
  </si>
  <si>
    <t>독일어 회화</t>
    <phoneticPr fontId="36" type="noConversion"/>
  </si>
  <si>
    <t>프랑스어 회화</t>
    <phoneticPr fontId="36" type="noConversion"/>
  </si>
  <si>
    <t>스페인어 회화</t>
    <phoneticPr fontId="36" type="noConversion"/>
  </si>
  <si>
    <t>중국어 회화</t>
    <phoneticPr fontId="36" type="noConversion"/>
  </si>
  <si>
    <t>일본어 회화</t>
    <phoneticPr fontId="36" type="noConversion"/>
  </si>
  <si>
    <t>러시아어 회화</t>
    <phoneticPr fontId="36" type="noConversion"/>
  </si>
  <si>
    <t>아랍어 회화</t>
    <phoneticPr fontId="36" type="noConversion"/>
  </si>
  <si>
    <t>베트남어 회화</t>
    <phoneticPr fontId="36" type="noConversion"/>
  </si>
  <si>
    <t>심화 독일어</t>
    <phoneticPr fontId="36" type="noConversion"/>
  </si>
  <si>
    <t>심화 프랑스어</t>
    <phoneticPr fontId="36" type="noConversion"/>
  </si>
  <si>
    <t>심화 중국어</t>
    <phoneticPr fontId="36" type="noConversion"/>
  </si>
  <si>
    <t>심화 일본어</t>
    <phoneticPr fontId="36" type="noConversion"/>
  </si>
  <si>
    <t>심화 러시아어</t>
    <phoneticPr fontId="36" type="noConversion"/>
  </si>
  <si>
    <t>심화 아랍어</t>
    <phoneticPr fontId="36" type="noConversion"/>
  </si>
  <si>
    <t>심화 베트남어</t>
    <phoneticPr fontId="36" type="noConversion"/>
  </si>
  <si>
    <t>독일어권 문화</t>
    <phoneticPr fontId="36" type="noConversion"/>
  </si>
  <si>
    <t>프랑스어권 문화</t>
    <phoneticPr fontId="36" type="noConversion"/>
  </si>
  <si>
    <t>스페인어권 문화</t>
    <phoneticPr fontId="36" type="noConversion"/>
  </si>
  <si>
    <t>중국 문화</t>
    <phoneticPr fontId="36" type="noConversion"/>
  </si>
  <si>
    <t>일본 문화</t>
    <phoneticPr fontId="36" type="noConversion"/>
  </si>
  <si>
    <t>러시아 문화</t>
    <phoneticPr fontId="36" type="noConversion"/>
  </si>
  <si>
    <t>아랍 문화</t>
    <phoneticPr fontId="36" type="noConversion"/>
  </si>
  <si>
    <t>베트남 문화</t>
    <phoneticPr fontId="36" type="noConversion"/>
  </si>
  <si>
    <t>한문</t>
    <phoneticPr fontId="36" type="noConversion"/>
  </si>
  <si>
    <t>심화 한문</t>
    <phoneticPr fontId="36" type="noConversion"/>
  </si>
  <si>
    <t>진로와 직업</t>
    <phoneticPr fontId="36" type="noConversion"/>
  </si>
  <si>
    <t>교양</t>
    <phoneticPr fontId="36" type="noConversion"/>
  </si>
  <si>
    <t>생태와 환경</t>
    <phoneticPr fontId="36" type="noConversion"/>
  </si>
  <si>
    <t>인간과 철학</t>
    <phoneticPr fontId="36" type="noConversion"/>
  </si>
  <si>
    <t>논리와 사고</t>
    <phoneticPr fontId="36" type="noConversion"/>
  </si>
  <si>
    <t>인간과 심리</t>
    <phoneticPr fontId="36" type="noConversion"/>
  </si>
  <si>
    <t>교육의 이해</t>
    <phoneticPr fontId="36" type="noConversion"/>
  </si>
  <si>
    <t>삶과 종료</t>
    <phoneticPr fontId="36" type="noConversion"/>
  </si>
  <si>
    <t>보건</t>
    <phoneticPr fontId="36" type="noConversion"/>
  </si>
  <si>
    <t>인간과 경제활동</t>
    <phoneticPr fontId="36" type="noConversion"/>
  </si>
  <si>
    <t>논술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</si>
</sst>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m&quot;월&quot;\ dd&quot;일&quot;"/>
  </numFmts>
  <fonts count="45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1"/>
      <color rgb="FF1155CC"/>
      <name val="Arial"/>
      <family val="2"/>
    </font>
    <font>
      <sz val="10"/>
      <color theme="1"/>
      <name val="&quot;맑은 고딕&quot;"/>
      <family val="3"/>
      <charset val="129"/>
    </font>
    <font>
      <sz val="10"/>
      <color rgb="FF000000"/>
      <name val="&quot;맑은 고딕&quot;"/>
      <family val="3"/>
      <charset val="129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theme="1"/>
      <name val="Arial"/>
      <family val="2"/>
    </font>
    <font>
      <sz val="11"/>
      <color rgb="FF333333"/>
      <name val="Arial"/>
      <family val="2"/>
    </font>
    <font>
      <sz val="11"/>
      <color rgb="FF000000"/>
      <name val="Pretendard"/>
    </font>
    <font>
      <b/>
      <sz val="16"/>
      <color rgb="FF000000"/>
      <name val="&quot;\0022맑은 고딕\0022\"/>
      <family val="3"/>
      <charset val="129"/>
    </font>
    <font>
      <sz val="11"/>
      <color rgb="FFFF0000"/>
      <name val="Arial"/>
      <family val="2"/>
    </font>
    <font>
      <b/>
      <sz val="11"/>
      <color rgb="FF000000"/>
      <name val="&quot;\0022맑은 고딕\0022&quot;"/>
      <family val="3"/>
      <charset val="129"/>
    </font>
    <font>
      <b/>
      <sz val="11"/>
      <color rgb="FF000000"/>
      <name val="&quot;맑은 고딕&quot;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&quot;\0022맑은 고딕\0022&quot;"/>
      <family val="3"/>
      <charset val="129"/>
    </font>
    <font>
      <sz val="11"/>
      <color rgb="FF000000"/>
      <name val="&quot;Arial Unicode MS&quot;"/>
    </font>
    <font>
      <sz val="11"/>
      <color rgb="FF000000"/>
      <name val="&quot;맑은 고딕&quot;"/>
      <family val="3"/>
      <charset val="129"/>
    </font>
    <font>
      <sz val="11"/>
      <color rgb="FF000000"/>
      <name val="돋움"/>
      <family val="3"/>
      <charset val="129"/>
    </font>
    <font>
      <sz val="9"/>
      <color rgb="FF333333"/>
      <name val="Inherit"/>
    </font>
    <font>
      <sz val="9"/>
      <color rgb="FF333333"/>
      <name val="&quot;맑은 고딕&quot;"/>
      <family val="3"/>
      <charset val="129"/>
    </font>
    <font>
      <sz val="11"/>
      <color rgb="FF000000"/>
      <name val="&quot;\0022\\0022맑은 고딕\\0022\0022&quot;"/>
      <family val="3"/>
      <charset val="129"/>
    </font>
    <font>
      <sz val="11"/>
      <color rgb="FF000000"/>
      <name val="Inherit"/>
    </font>
    <font>
      <sz val="11"/>
      <color rgb="FF333333"/>
      <name val="&quot;\0022맑은 고딕\0022&quot;"/>
      <family val="3"/>
      <charset val="129"/>
    </font>
    <font>
      <sz val="11"/>
      <color rgb="FF333333"/>
      <name val="Inherit"/>
    </font>
    <font>
      <sz val="8"/>
      <name val="Arial"/>
      <family val="3"/>
      <charset val="129"/>
      <scheme val="minor"/>
    </font>
    <font>
      <b/>
      <sz val="11"/>
      <color theme="1"/>
      <name val="Arial"/>
      <family val="3"/>
      <charset val="129"/>
      <scheme val="minor"/>
    </font>
    <font>
      <b/>
      <sz val="8"/>
      <color theme="1"/>
      <name val="Arial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color indexed="8"/>
      <name val="Arial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Arial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BDFD0"/>
        <bgColor rgb="FFFBDFD0"/>
      </patternFill>
    </fill>
    <fill>
      <patternFill patternType="solid">
        <fgColor rgb="FFF9D0D2"/>
        <bgColor rgb="FFF9D0D2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2D8"/>
        <bgColor rgb="FFEAD2D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7"/>
      </patternFill>
    </fill>
  </fills>
  <borders count="9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41" fillId="14" borderId="0" applyNumberFormat="0" applyBorder="0" applyAlignment="0" applyProtection="0">
      <alignment vertical="center"/>
    </xf>
  </cellStyleXfs>
  <cellXfs count="54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4" borderId="43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7" fillId="5" borderId="54" xfId="0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5" borderId="61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62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9" xfId="0" applyFont="1" applyFill="1" applyBorder="1" applyAlignment="1">
      <alignment horizontal="center" vertical="center" wrapText="1"/>
    </xf>
    <xf numFmtId="0" fontId="7" fillId="5" borderId="65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 wrapText="1"/>
    </xf>
    <xf numFmtId="0" fontId="7" fillId="5" borderId="50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1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62" xfId="0" applyFont="1" applyFill="1" applyBorder="1" applyAlignment="1">
      <alignment horizontal="center" vertical="center" wrapText="1"/>
    </xf>
    <xf numFmtId="0" fontId="1" fillId="5" borderId="67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51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5" borderId="54" xfId="0" applyFont="1" applyFill="1" applyBorder="1" applyAlignment="1">
      <alignment horizontal="center" vertical="center" wrapText="1"/>
    </xf>
    <xf numFmtId="0" fontId="1" fillId="5" borderId="58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1" fillId="5" borderId="5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1" fillId="5" borderId="65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 wrapText="1"/>
    </xf>
    <xf numFmtId="0" fontId="1" fillId="8" borderId="71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/>
    </xf>
    <xf numFmtId="0" fontId="1" fillId="8" borderId="72" xfId="0" applyFont="1" applyFill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 wrapText="1"/>
    </xf>
    <xf numFmtId="0" fontId="1" fillId="8" borderId="73" xfId="0" applyFont="1" applyFill="1" applyBorder="1" applyAlignment="1">
      <alignment horizontal="center" vertical="center" wrapText="1"/>
    </xf>
    <xf numFmtId="0" fontId="7" fillId="5" borderId="6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 wrapText="1"/>
    </xf>
    <xf numFmtId="0" fontId="7" fillId="5" borderId="75" xfId="0" applyFont="1" applyFill="1" applyBorder="1" applyAlignment="1">
      <alignment horizontal="center" vertical="center" wrapText="1"/>
    </xf>
    <xf numFmtId="0" fontId="1" fillId="5" borderId="61" xfId="0" applyFont="1" applyFill="1" applyBorder="1" applyAlignment="1">
      <alignment horizontal="center" vertical="center"/>
    </xf>
    <xf numFmtId="0" fontId="7" fillId="5" borderId="62" xfId="0" applyFont="1" applyFill="1" applyBorder="1" applyAlignment="1">
      <alignment horizontal="center" vertical="center" wrapText="1"/>
    </xf>
    <xf numFmtId="0" fontId="1" fillId="5" borderId="54" xfId="0" applyFont="1" applyFill="1" applyBorder="1" applyAlignment="1">
      <alignment horizontal="center" vertical="center" wrapText="1"/>
    </xf>
    <xf numFmtId="0" fontId="1" fillId="5" borderId="65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65" xfId="0" applyFont="1" applyFill="1" applyBorder="1" applyAlignment="1">
      <alignment horizontal="center" vertical="center" wrapText="1"/>
    </xf>
    <xf numFmtId="0" fontId="1" fillId="6" borderId="76" xfId="0" applyFont="1" applyFill="1" applyBorder="1" applyAlignment="1">
      <alignment horizontal="center" vertical="center" wrapText="1"/>
    </xf>
    <xf numFmtId="0" fontId="1" fillId="6" borderId="51" xfId="0" applyFont="1" applyFill="1" applyBorder="1" applyAlignment="1">
      <alignment horizontal="center" vertical="center"/>
    </xf>
    <xf numFmtId="0" fontId="7" fillId="9" borderId="43" xfId="0" applyFont="1" applyFill="1" applyBorder="1" applyAlignment="1">
      <alignment horizontal="center" vertical="center" wrapText="1"/>
    </xf>
    <xf numFmtId="0" fontId="7" fillId="9" borderId="50" xfId="0" applyFont="1" applyFill="1" applyBorder="1" applyAlignment="1">
      <alignment horizontal="center" vertical="center" wrapText="1"/>
    </xf>
    <xf numFmtId="0" fontId="7" fillId="9" borderId="51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 wrapText="1"/>
    </xf>
    <xf numFmtId="0" fontId="7" fillId="8" borderId="71" xfId="0" applyFont="1" applyFill="1" applyBorder="1" applyAlignment="1">
      <alignment horizontal="center" vertical="center" wrapText="1"/>
    </xf>
    <xf numFmtId="0" fontId="11" fillId="8" borderId="71" xfId="0" applyFont="1" applyFill="1" applyBorder="1" applyAlignment="1">
      <alignment horizontal="center"/>
    </xf>
    <xf numFmtId="0" fontId="7" fillId="8" borderId="72" xfId="0" applyFont="1" applyFill="1" applyBorder="1" applyAlignment="1">
      <alignment horizontal="center" vertical="center" wrapText="1"/>
    </xf>
    <xf numFmtId="0" fontId="7" fillId="8" borderId="73" xfId="0" applyFont="1" applyFill="1" applyBorder="1" applyAlignment="1">
      <alignment horizontal="center" vertical="center" wrapText="1"/>
    </xf>
    <xf numFmtId="0" fontId="1" fillId="5" borderId="71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7" fillId="5" borderId="72" xfId="0" applyFont="1" applyFill="1" applyBorder="1" applyAlignment="1">
      <alignment horizontal="center" vertical="center" wrapText="1"/>
    </xf>
    <xf numFmtId="0" fontId="7" fillId="5" borderId="77" xfId="0" applyFont="1" applyFill="1" applyBorder="1" applyAlignment="1">
      <alignment horizontal="center" vertical="center" wrapText="1"/>
    </xf>
    <xf numFmtId="0" fontId="7" fillId="5" borderId="71" xfId="0" applyFont="1" applyFill="1" applyBorder="1" applyAlignment="1">
      <alignment horizontal="center" vertical="center" wrapText="1"/>
    </xf>
    <xf numFmtId="0" fontId="7" fillId="5" borderId="67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6" borderId="73" xfId="0" applyFont="1" applyFill="1" applyBorder="1" applyAlignment="1">
      <alignment horizontal="center" vertical="center" wrapText="1"/>
    </xf>
    <xf numFmtId="0" fontId="7" fillId="6" borderId="36" xfId="0" applyFont="1" applyFill="1" applyBorder="1" applyAlignment="1">
      <alignment horizontal="center" vertical="center" wrapText="1"/>
    </xf>
    <xf numFmtId="0" fontId="7" fillId="6" borderId="49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7" fillId="9" borderId="48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7" fillId="0" borderId="0" xfId="0" applyFont="1"/>
    <xf numFmtId="0" fontId="5" fillId="10" borderId="50" xfId="0" applyFont="1" applyFill="1" applyBorder="1" applyAlignment="1">
      <alignment horizontal="center" vertical="center" wrapText="1"/>
    </xf>
    <xf numFmtId="0" fontId="7" fillId="9" borderId="46" xfId="0" applyFont="1" applyFill="1" applyBorder="1" applyAlignment="1">
      <alignment horizontal="center" vertical="center" wrapText="1"/>
    </xf>
    <xf numFmtId="0" fontId="7" fillId="9" borderId="48" xfId="0" applyFont="1" applyFill="1" applyBorder="1" applyAlignment="1">
      <alignment horizontal="center" vertical="center"/>
    </xf>
    <xf numFmtId="0" fontId="7" fillId="9" borderId="46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7" fillId="11" borderId="50" xfId="0" applyFont="1" applyFill="1" applyBorder="1" applyAlignment="1">
      <alignment horizontal="center" vertical="center"/>
    </xf>
    <xf numFmtId="0" fontId="7" fillId="11" borderId="50" xfId="0" applyFont="1" applyFill="1" applyBorder="1" applyAlignment="1">
      <alignment horizontal="center" vertical="center" wrapText="1"/>
    </xf>
    <xf numFmtId="0" fontId="7" fillId="11" borderId="51" xfId="0" applyFont="1" applyFill="1" applyBorder="1" applyAlignment="1">
      <alignment horizontal="center" vertical="center" wrapText="1"/>
    </xf>
    <xf numFmtId="0" fontId="7" fillId="9" borderId="46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/>
    </xf>
    <xf numFmtId="0" fontId="7" fillId="9" borderId="48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/>
    </xf>
    <xf numFmtId="0" fontId="7" fillId="9" borderId="21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49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7" fillId="9" borderId="21" xfId="0" applyFont="1" applyFill="1" applyBorder="1" applyAlignment="1">
      <alignment horizontal="center" wrapText="1"/>
    </xf>
    <xf numFmtId="0" fontId="7" fillId="9" borderId="6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0" fontId="7" fillId="9" borderId="2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9" borderId="62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 wrapText="1"/>
    </xf>
    <xf numFmtId="0" fontId="5" fillId="11" borderId="50" xfId="0" applyFont="1" applyFill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 wrapText="1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6" xfId="0" applyFont="1" applyFill="1" applyBorder="1" applyAlignment="1">
      <alignment horizontal="center" vertical="center" wrapText="1"/>
    </xf>
    <xf numFmtId="0" fontId="13" fillId="9" borderId="46" xfId="0" applyFont="1" applyFill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 wrapText="1"/>
    </xf>
    <xf numFmtId="0" fontId="13" fillId="9" borderId="6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/>
    </xf>
    <xf numFmtId="0" fontId="13" fillId="9" borderId="62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62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11" borderId="50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 wrapText="1"/>
    </xf>
    <xf numFmtId="0" fontId="13" fillId="11" borderId="51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/>
    </xf>
    <xf numFmtId="0" fontId="13" fillId="9" borderId="76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 wrapText="1"/>
    </xf>
    <xf numFmtId="0" fontId="13" fillId="11" borderId="79" xfId="0" applyFont="1" applyFill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3" fillId="9" borderId="4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10" borderId="50" xfId="0" applyFont="1" applyFill="1" applyBorder="1" applyAlignment="1">
      <alignment horizontal="center" vertical="center"/>
    </xf>
    <xf numFmtId="0" fontId="25" fillId="9" borderId="46" xfId="0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25" fillId="9" borderId="21" xfId="0" applyFont="1" applyFill="1" applyBorder="1" applyAlignment="1">
      <alignment horizontal="center" vertical="center"/>
    </xf>
    <xf numFmtId="0" fontId="28" fillId="9" borderId="21" xfId="0" applyFont="1" applyFill="1" applyBorder="1" applyAlignment="1">
      <alignment horizontal="center" vertical="center"/>
    </xf>
    <xf numFmtId="0" fontId="25" fillId="9" borderId="21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6" fillId="11" borderId="50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/>
    </xf>
    <xf numFmtId="0" fontId="13" fillId="11" borderId="5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26" fillId="9" borderId="46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29" fillId="9" borderId="21" xfId="0" applyFont="1" applyFill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13" fillId="11" borderId="32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2" fillId="9" borderId="46" xfId="0" applyFont="1" applyFill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32" fillId="9" borderId="21" xfId="0" applyFont="1" applyFill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32" fillId="0" borderId="2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4" xfId="0" applyFont="1" applyBorder="1"/>
    <xf numFmtId="0" fontId="9" fillId="4" borderId="29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9" fillId="4" borderId="38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9" fillId="4" borderId="53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9" fillId="4" borderId="34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" fillId="0" borderId="39" xfId="0" applyFont="1" applyBorder="1" applyAlignment="1">
      <alignment horizontal="center" vertical="center"/>
    </xf>
    <xf numFmtId="0" fontId="3" fillId="0" borderId="48" xfId="0" applyFont="1" applyBorder="1"/>
    <xf numFmtId="0" fontId="1" fillId="0" borderId="4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3" fillId="0" borderId="60" xfId="0" applyFont="1" applyBorder="1"/>
    <xf numFmtId="0" fontId="1" fillId="0" borderId="59" xfId="0" applyFont="1" applyBorder="1" applyAlignment="1">
      <alignment horizontal="center" vertical="center"/>
    </xf>
    <xf numFmtId="0" fontId="3" fillId="0" borderId="6" xfId="0" applyFont="1" applyBorder="1"/>
    <xf numFmtId="0" fontId="1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5" borderId="41" xfId="0" applyFont="1" applyFill="1" applyBorder="1" applyAlignment="1">
      <alignment horizontal="center" vertical="center" wrapText="1"/>
    </xf>
    <xf numFmtId="0" fontId="3" fillId="0" borderId="63" xfId="0" applyFont="1" applyBorder="1"/>
    <xf numFmtId="0" fontId="3" fillId="0" borderId="52" xfId="0" applyFont="1" applyBorder="1"/>
    <xf numFmtId="0" fontId="1" fillId="0" borderId="64" xfId="0" applyFont="1" applyBorder="1" applyAlignment="1">
      <alignment horizontal="center" vertical="center"/>
    </xf>
    <xf numFmtId="0" fontId="3" fillId="0" borderId="2" xfId="0" applyFont="1" applyBorder="1"/>
    <xf numFmtId="0" fontId="1" fillId="0" borderId="13" xfId="0" applyFont="1" applyBorder="1" applyAlignment="1">
      <alignment horizontal="center" vertical="center"/>
    </xf>
    <xf numFmtId="0" fontId="3" fillId="0" borderId="66" xfId="0" applyFont="1" applyBorder="1"/>
    <xf numFmtId="0" fontId="1" fillId="0" borderId="68" xfId="0" applyFont="1" applyBorder="1" applyAlignment="1">
      <alignment horizontal="center" vertical="center"/>
    </xf>
    <xf numFmtId="0" fontId="3" fillId="0" borderId="12" xfId="0" applyFont="1" applyBorder="1"/>
    <xf numFmtId="0" fontId="1" fillId="0" borderId="10" xfId="0" applyFont="1" applyBorder="1" applyAlignment="1">
      <alignment horizontal="center" vertical="center"/>
    </xf>
    <xf numFmtId="0" fontId="3" fillId="0" borderId="69" xfId="0" applyFont="1" applyBorder="1"/>
    <xf numFmtId="0" fontId="7" fillId="6" borderId="55" xfId="0" applyFont="1" applyFill="1" applyBorder="1" applyAlignment="1">
      <alignment horizontal="center" vertical="center" wrapText="1"/>
    </xf>
    <xf numFmtId="0" fontId="3" fillId="0" borderId="55" xfId="0" applyFont="1" applyBorder="1"/>
    <xf numFmtId="0" fontId="10" fillId="0" borderId="5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0" fillId="9" borderId="53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7" fillId="0" borderId="6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7" fillId="5" borderId="17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7" fillId="6" borderId="38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3" fillId="0" borderId="70" xfId="0" applyFont="1" applyBorder="1"/>
    <xf numFmtId="0" fontId="7" fillId="9" borderId="3" xfId="0" applyFont="1" applyFill="1" applyBorder="1" applyAlignment="1">
      <alignment horizontal="center" vertical="center" wrapText="1"/>
    </xf>
    <xf numFmtId="0" fontId="7" fillId="9" borderId="64" xfId="0" applyFont="1" applyFill="1" applyBorder="1" applyAlignment="1">
      <alignment horizontal="center" vertical="center" wrapText="1"/>
    </xf>
    <xf numFmtId="0" fontId="7" fillId="9" borderId="59" xfId="0" applyFont="1" applyFill="1" applyBorder="1" applyAlignment="1">
      <alignment horizontal="center" vertical="center" wrapText="1"/>
    </xf>
    <xf numFmtId="0" fontId="7" fillId="9" borderId="68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/>
    </xf>
    <xf numFmtId="0" fontId="3" fillId="0" borderId="7" xfId="0" applyFont="1" applyBorder="1"/>
    <xf numFmtId="0" fontId="7" fillId="5" borderId="4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3" fillId="9" borderId="59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/>
    </xf>
    <xf numFmtId="0" fontId="15" fillId="9" borderId="53" xfId="0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 wrapText="1"/>
    </xf>
    <xf numFmtId="0" fontId="7" fillId="8" borderId="72" xfId="0" applyFont="1" applyFill="1" applyBorder="1" applyAlignment="1">
      <alignment horizontal="center" vertical="center" wrapText="1"/>
    </xf>
    <xf numFmtId="0" fontId="1" fillId="9" borderId="7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5" borderId="5" xfId="0" applyFont="1" applyFill="1" applyBorder="1" applyAlignment="1">
      <alignment horizontal="center" vertical="center" wrapText="1"/>
    </xf>
    <xf numFmtId="0" fontId="1" fillId="9" borderId="59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1" fillId="9" borderId="47" xfId="0" applyFont="1" applyFill="1" applyBorder="1" applyAlignment="1">
      <alignment horizontal="center" vertical="center"/>
    </xf>
    <xf numFmtId="0" fontId="7" fillId="5" borderId="59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7" fillId="5" borderId="5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8" xfId="0" applyFont="1" applyBorder="1"/>
    <xf numFmtId="0" fontId="7" fillId="8" borderId="18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3" fillId="0" borderId="64" xfId="0" applyFont="1" applyBorder="1"/>
    <xf numFmtId="0" fontId="7" fillId="6" borderId="30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7" fillId="8" borderId="40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1" fillId="8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7" fillId="8" borderId="39" xfId="0" applyFont="1" applyFill="1" applyBorder="1" applyAlignment="1">
      <alignment horizontal="center" vertical="center" wrapText="1"/>
    </xf>
    <xf numFmtId="0" fontId="7" fillId="8" borderId="47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5" fillId="3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5" fillId="3" borderId="17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 wrapText="1"/>
    </xf>
    <xf numFmtId="0" fontId="3" fillId="0" borderId="74" xfId="0" applyFont="1" applyBorder="1"/>
    <xf numFmtId="0" fontId="3" fillId="0" borderId="67" xfId="0" applyFont="1" applyBorder="1"/>
    <xf numFmtId="0" fontId="14" fillId="5" borderId="7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10" fillId="0" borderId="34" xfId="0" applyFont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center" vertical="center" wrapText="1"/>
    </xf>
    <xf numFmtId="0" fontId="1" fillId="8" borderId="39" xfId="0" applyFont="1" applyFill="1" applyBorder="1" applyAlignment="1">
      <alignment horizontal="center" vertical="center"/>
    </xf>
    <xf numFmtId="0" fontId="1" fillId="8" borderId="53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 wrapText="1"/>
    </xf>
    <xf numFmtId="0" fontId="7" fillId="8" borderId="53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13" xfId="0" applyFont="1" applyBorder="1"/>
    <xf numFmtId="0" fontId="7" fillId="5" borderId="10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 wrapText="1"/>
    </xf>
    <xf numFmtId="0" fontId="6" fillId="4" borderId="39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0" fillId="9" borderId="22" xfId="0" applyFont="1" applyFill="1" applyBorder="1" applyAlignment="1">
      <alignment horizontal="center" vertical="center" wrapText="1"/>
    </xf>
    <xf numFmtId="0" fontId="10" fillId="9" borderId="39" xfId="0" applyFont="1" applyFill="1" applyBorder="1" applyAlignment="1">
      <alignment horizontal="center" vertical="center" wrapText="1"/>
    </xf>
    <xf numFmtId="0" fontId="10" fillId="9" borderId="59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/>
    </xf>
    <xf numFmtId="0" fontId="1" fillId="8" borderId="7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7" fillId="9" borderId="5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9" borderId="22" xfId="0" applyFont="1" applyFill="1" applyBorder="1" applyAlignment="1">
      <alignment horizontal="center" vertical="center"/>
    </xf>
    <xf numFmtId="0" fontId="7" fillId="9" borderId="47" xfId="0" applyFont="1" applyFill="1" applyBorder="1" applyAlignment="1">
      <alignment horizontal="center" vertical="center" wrapText="1"/>
    </xf>
    <xf numFmtId="0" fontId="7" fillId="9" borderId="53" xfId="0" applyFont="1" applyFill="1" applyBorder="1" applyAlignment="1">
      <alignment horizontal="center" vertical="center"/>
    </xf>
    <xf numFmtId="0" fontId="7" fillId="9" borderId="39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 wrapText="1"/>
    </xf>
    <xf numFmtId="0" fontId="1" fillId="5" borderId="68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53" xfId="0" applyFont="1" applyFill="1" applyBorder="1" applyAlignment="1">
      <alignment horizontal="center" vertical="center" wrapText="1"/>
    </xf>
    <xf numFmtId="0" fontId="1" fillId="8" borderId="56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40" xfId="0" applyFont="1" applyFill="1" applyBorder="1" applyAlignment="1">
      <alignment horizontal="center" vertical="center" wrapText="1"/>
    </xf>
    <xf numFmtId="0" fontId="1" fillId="8" borderId="41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1" fillId="5" borderId="56" xfId="0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 wrapText="1"/>
    </xf>
    <xf numFmtId="0" fontId="1" fillId="6" borderId="55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3" fillId="0" borderId="75" xfId="0" applyFont="1" applyBorder="1"/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34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8" borderId="64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31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33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0" xfId="0" applyFont="1" applyBorder="1"/>
    <xf numFmtId="0" fontId="5" fillId="10" borderId="14" xfId="0" applyFont="1" applyFill="1" applyBorder="1" applyAlignment="1">
      <alignment horizontal="center" vertical="center" wrapText="1"/>
    </xf>
    <xf numFmtId="0" fontId="7" fillId="9" borderId="40" xfId="0" applyFont="1" applyFill="1" applyBorder="1" applyAlignment="1">
      <alignment horizontal="center" vertical="center" wrapText="1"/>
    </xf>
    <xf numFmtId="0" fontId="7" fillId="11" borderId="34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13" fillId="9" borderId="40" xfId="0" applyFont="1" applyFill="1" applyBorder="1" applyAlignment="1">
      <alignment horizontal="center" vertical="center" wrapText="1"/>
    </xf>
    <xf numFmtId="0" fontId="13" fillId="11" borderId="34" xfId="0" applyFont="1" applyFill="1" applyBorder="1" applyAlignment="1">
      <alignment horizontal="center" vertical="center" wrapText="1"/>
    </xf>
    <xf numFmtId="0" fontId="8" fillId="9" borderId="7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10" borderId="47" xfId="0" applyFont="1" applyFill="1" applyBorder="1" applyAlignment="1">
      <alignment horizontal="center" vertical="center" wrapText="1"/>
    </xf>
    <xf numFmtId="0" fontId="5" fillId="10" borderId="40" xfId="0" applyFont="1" applyFill="1" applyBorder="1" applyAlignment="1">
      <alignment horizontal="center" vertical="center" wrapText="1"/>
    </xf>
    <xf numFmtId="0" fontId="5" fillId="10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10" borderId="16" xfId="0" applyFont="1" applyFill="1" applyBorder="1" applyAlignment="1">
      <alignment horizontal="center" vertical="center" wrapText="1"/>
    </xf>
    <xf numFmtId="0" fontId="13" fillId="9" borderId="40" xfId="0" applyFont="1" applyFill="1" applyBorder="1" applyAlignment="1">
      <alignment horizontal="center" vertical="center"/>
    </xf>
    <xf numFmtId="0" fontId="13" fillId="11" borderId="33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26" fillId="11" borderId="33" xfId="0" applyFont="1" applyFill="1" applyBorder="1" applyAlignment="1">
      <alignment horizontal="center" vertical="center"/>
    </xf>
    <xf numFmtId="0" fontId="25" fillId="9" borderId="16" xfId="0" applyFont="1" applyFill="1" applyBorder="1" applyAlignment="1">
      <alignment horizontal="center" vertical="center"/>
    </xf>
    <xf numFmtId="0" fontId="32" fillId="9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24" fillId="10" borderId="12" xfId="0" applyFont="1" applyFill="1" applyBorder="1" applyAlignment="1">
      <alignment horizontal="center" vertical="center"/>
    </xf>
    <xf numFmtId="0" fontId="25" fillId="7" borderId="1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23" fillId="10" borderId="40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7" fillId="12" borderId="80" xfId="0" applyFont="1" applyFill="1" applyBorder="1" applyAlignment="1" applyProtection="1">
      <alignment horizontal="center" vertical="center" wrapText="1"/>
      <protection locked="0"/>
    </xf>
    <xf numFmtId="0" fontId="37" fillId="13" borderId="81" xfId="0" applyFont="1" applyFill="1" applyBorder="1" applyAlignment="1" applyProtection="1">
      <alignment horizontal="center" vertical="center"/>
      <protection locked="0"/>
    </xf>
    <xf numFmtId="0" fontId="37" fillId="13" borderId="82" xfId="0" applyFont="1" applyFill="1" applyBorder="1" applyAlignment="1" applyProtection="1">
      <alignment horizontal="center" vertical="center"/>
      <protection locked="0"/>
    </xf>
    <xf numFmtId="0" fontId="37" fillId="13" borderId="83" xfId="0" applyFont="1" applyFill="1" applyBorder="1" applyAlignment="1" applyProtection="1">
      <alignment horizontal="center" vertical="center"/>
      <protection locked="0"/>
    </xf>
    <xf numFmtId="0" fontId="37" fillId="12" borderId="84" xfId="0" applyFont="1" applyFill="1" applyBorder="1" applyAlignment="1" applyProtection="1">
      <alignment horizontal="center" vertical="center" wrapText="1"/>
      <protection locked="0"/>
    </xf>
    <xf numFmtId="0" fontId="37" fillId="13" borderId="85" xfId="0" applyFont="1" applyFill="1" applyBorder="1" applyAlignment="1" applyProtection="1">
      <alignment horizontal="center" vertical="center"/>
      <protection locked="0"/>
    </xf>
    <xf numFmtId="0" fontId="0" fillId="0" borderId="87" xfId="0" applyBorder="1" applyAlignment="1" applyProtection="1">
      <alignment horizontal="center" vertical="center"/>
      <protection locked="0"/>
    </xf>
    <xf numFmtId="0" fontId="37" fillId="13" borderId="85" xfId="0" applyFont="1" applyFill="1" applyBorder="1" applyAlignment="1" applyProtection="1">
      <alignment horizontal="center" vertical="center" shrinkToFit="1"/>
      <protection locked="0"/>
    </xf>
    <xf numFmtId="0" fontId="37" fillId="12" borderId="88" xfId="0" applyFont="1" applyFill="1" applyBorder="1" applyAlignment="1" applyProtection="1">
      <alignment horizontal="center" vertical="center" wrapText="1"/>
      <protection locked="0"/>
    </xf>
    <xf numFmtId="0" fontId="38" fillId="13" borderId="89" xfId="0" applyFont="1" applyFill="1" applyBorder="1" applyAlignment="1" applyProtection="1">
      <alignment horizontal="center" vertical="center"/>
      <protection locked="0"/>
    </xf>
    <xf numFmtId="0" fontId="0" fillId="0" borderId="91" xfId="0" applyBorder="1" applyAlignment="1" applyProtection="1">
      <alignment horizontal="center" vertical="center"/>
      <protection locked="0"/>
    </xf>
    <xf numFmtId="0" fontId="39" fillId="0" borderId="86" xfId="0" applyFont="1" applyBorder="1" applyAlignment="1" applyProtection="1">
      <alignment horizontal="center" vertical="center"/>
      <protection locked="0"/>
    </xf>
    <xf numFmtId="0" fontId="39" fillId="0" borderId="86" xfId="0" applyFont="1" applyBorder="1" applyAlignment="1" applyProtection="1">
      <alignment horizontal="center" vertical="center" shrinkToFit="1"/>
      <protection locked="0"/>
    </xf>
    <xf numFmtId="0" fontId="40" fillId="0" borderId="90" xfId="0" applyFont="1" applyBorder="1" applyAlignment="1" applyProtection="1">
      <alignment horizontal="center" vertical="center"/>
      <protection locked="0"/>
    </xf>
    <xf numFmtId="0" fontId="42" fillId="13" borderId="92" xfId="1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2" fillId="13" borderId="93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4" fillId="0" borderId="0" xfId="0" applyFont="1" applyAlignment="1">
      <alignment horizontal="center" vertical="center"/>
    </xf>
    <xf numFmtId="177" fontId="4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20% - 강조색5_교육과정 편제표 양식v3 2" xfId="1" xr:uid="{1FC44D69-3D0C-4EC4-9B82-0E5267454C4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1"/>
  <sheetViews>
    <sheetView tabSelected="1" topLeftCell="B1" workbookViewId="0">
      <selection activeCell="AC3" sqref="AC3:AD4"/>
    </sheetView>
  </sheetViews>
  <sheetFormatPr defaultColWidth="12.6640625" defaultRowHeight="15.75" customHeight="1"/>
  <cols>
    <col min="1" max="1" width="4.44140625" customWidth="1"/>
    <col min="2" max="2" width="7.21875" customWidth="1"/>
    <col min="3" max="3" width="10.88671875" customWidth="1"/>
    <col min="4" max="4" width="11.77734375" customWidth="1"/>
    <col min="5" max="5" width="11.6640625" customWidth="1"/>
    <col min="6" max="7" width="13.109375" customWidth="1"/>
    <col min="8" max="10" width="5.44140625" customWidth="1"/>
    <col min="11" max="18" width="2.77734375" customWidth="1"/>
    <col min="19" max="20" width="2.6640625" customWidth="1"/>
    <col min="21" max="22" width="3.109375" customWidth="1"/>
    <col min="23" max="24" width="5.21875" customWidth="1"/>
    <col min="25" max="25" width="8.44140625" customWidth="1"/>
    <col min="26" max="26" width="9.77734375" customWidth="1"/>
    <col min="29" max="30" width="17" customWidth="1"/>
  </cols>
  <sheetData>
    <row r="1" spans="1:30" ht="13.8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0" ht="40.200000000000003" customHeight="1" thickBot="1">
      <c r="A2" s="1"/>
      <c r="B2" s="382" t="s">
        <v>0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83" t="s">
        <v>1</v>
      </c>
      <c r="W2" s="372"/>
      <c r="X2" s="377">
        <v>2027</v>
      </c>
      <c r="Y2" s="323"/>
      <c r="AA2" s="521" t="s">
        <v>356</v>
      </c>
      <c r="AB2" s="522" t="s">
        <v>357</v>
      </c>
      <c r="AC2" s="523" t="s">
        <v>358</v>
      </c>
      <c r="AD2" s="524" t="s">
        <v>359</v>
      </c>
    </row>
    <row r="3" spans="1:30" ht="21.75" customHeight="1">
      <c r="A3" s="1"/>
      <c r="B3" s="384" t="s">
        <v>2</v>
      </c>
      <c r="C3" s="386" t="s">
        <v>3</v>
      </c>
      <c r="D3" s="368"/>
      <c r="E3" s="368"/>
      <c r="F3" s="386" t="s">
        <v>4</v>
      </c>
      <c r="G3" s="358"/>
      <c r="H3" s="386" t="s">
        <v>5</v>
      </c>
      <c r="I3" s="368"/>
      <c r="J3" s="368"/>
      <c r="K3" s="387" t="s">
        <v>6</v>
      </c>
      <c r="L3" s="368"/>
      <c r="M3" s="368"/>
      <c r="N3" s="368"/>
      <c r="O3" s="260"/>
      <c r="P3" s="378" t="s">
        <v>7</v>
      </c>
      <c r="Q3" s="257"/>
      <c r="R3" s="257"/>
      <c r="S3" s="257"/>
      <c r="T3" s="257"/>
      <c r="U3" s="257"/>
      <c r="V3" s="257"/>
      <c r="W3" s="257"/>
      <c r="X3" s="257"/>
      <c r="Y3" s="258"/>
      <c r="AA3" s="525"/>
      <c r="AB3" s="526" t="s">
        <v>360</v>
      </c>
      <c r="AC3" s="532" t="s">
        <v>363</v>
      </c>
      <c r="AD3" s="527">
        <v>1001</v>
      </c>
    </row>
    <row r="4" spans="1:30" ht="21.75" customHeight="1" thickBot="1">
      <c r="A4" s="1"/>
      <c r="B4" s="385"/>
      <c r="C4" s="309"/>
      <c r="D4" s="341"/>
      <c r="E4" s="341"/>
      <c r="F4" s="309"/>
      <c r="G4" s="359"/>
      <c r="H4" s="309"/>
      <c r="I4" s="341"/>
      <c r="J4" s="341"/>
      <c r="K4" s="261"/>
      <c r="L4" s="341"/>
      <c r="M4" s="341"/>
      <c r="N4" s="341"/>
      <c r="O4" s="262"/>
      <c r="P4" s="379" t="s">
        <v>8</v>
      </c>
      <c r="Q4" s="380"/>
      <c r="R4" s="380"/>
      <c r="S4" s="380"/>
      <c r="T4" s="381" t="s">
        <v>9</v>
      </c>
      <c r="U4" s="380"/>
      <c r="V4" s="266"/>
      <c r="W4" s="379" t="s">
        <v>10</v>
      </c>
      <c r="X4" s="380"/>
      <c r="Y4" s="268"/>
      <c r="AA4" s="525"/>
      <c r="AB4" s="528" t="s">
        <v>361</v>
      </c>
      <c r="AC4" s="533" t="s">
        <v>364</v>
      </c>
      <c r="AD4" s="527">
        <v>1074</v>
      </c>
    </row>
    <row r="5" spans="1:30" ht="33" customHeight="1" thickBot="1">
      <c r="A5" s="1"/>
      <c r="B5" s="3" t="s">
        <v>11</v>
      </c>
      <c r="C5" s="388" t="s">
        <v>51</v>
      </c>
      <c r="D5" s="372"/>
      <c r="E5" s="323"/>
      <c r="F5" s="388" t="s">
        <v>53</v>
      </c>
      <c r="G5" s="323"/>
      <c r="H5" s="388" t="s">
        <v>54</v>
      </c>
      <c r="I5" s="372"/>
      <c r="J5" s="323"/>
      <c r="K5" s="388" t="s">
        <v>54</v>
      </c>
      <c r="L5" s="372"/>
      <c r="M5" s="372"/>
      <c r="N5" s="372"/>
      <c r="O5" s="323"/>
      <c r="P5" s="388" t="s">
        <v>54</v>
      </c>
      <c r="Q5" s="372"/>
      <c r="R5" s="372"/>
      <c r="S5" s="323"/>
      <c r="T5" s="388" t="s">
        <v>15</v>
      </c>
      <c r="U5" s="372"/>
      <c r="V5" s="323"/>
      <c r="W5" s="388" t="s">
        <v>78</v>
      </c>
      <c r="X5" s="372"/>
      <c r="Y5" s="323"/>
      <c r="AA5" s="529"/>
      <c r="AB5" s="530" t="s">
        <v>362</v>
      </c>
      <c r="AC5" s="534"/>
      <c r="AD5" s="531"/>
    </row>
    <row r="6" spans="1:30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06"/>
      <c r="W6" s="307"/>
      <c r="X6" s="307"/>
      <c r="Y6" s="307"/>
    </row>
    <row r="7" spans="1:30" ht="20.25" customHeight="1">
      <c r="A7" s="1"/>
      <c r="B7" s="259" t="s">
        <v>17</v>
      </c>
      <c r="C7" s="260"/>
      <c r="D7" s="263" t="s">
        <v>18</v>
      </c>
      <c r="E7" s="256" t="s">
        <v>19</v>
      </c>
      <c r="F7" s="257"/>
      <c r="G7" s="258"/>
      <c r="H7" s="402" t="s">
        <v>20</v>
      </c>
      <c r="I7" s="403" t="s">
        <v>21</v>
      </c>
      <c r="J7" s="404" t="s">
        <v>22</v>
      </c>
      <c r="K7" s="256" t="s">
        <v>23</v>
      </c>
      <c r="L7" s="257"/>
      <c r="M7" s="257"/>
      <c r="N7" s="258"/>
      <c r="O7" s="256" t="s">
        <v>24</v>
      </c>
      <c r="P7" s="257"/>
      <c r="Q7" s="257"/>
      <c r="R7" s="258"/>
      <c r="S7" s="256" t="s">
        <v>25</v>
      </c>
      <c r="T7" s="257"/>
      <c r="U7" s="257"/>
      <c r="V7" s="258"/>
      <c r="W7" s="259" t="s">
        <v>26</v>
      </c>
      <c r="X7" s="260"/>
      <c r="Y7" s="263" t="s">
        <v>27</v>
      </c>
    </row>
    <row r="8" spans="1:30" ht="20.25" customHeight="1">
      <c r="A8" s="1"/>
      <c r="B8" s="261"/>
      <c r="C8" s="262"/>
      <c r="D8" s="264"/>
      <c r="E8" s="6" t="s">
        <v>28</v>
      </c>
      <c r="F8" s="267" t="s">
        <v>29</v>
      </c>
      <c r="G8" s="268"/>
      <c r="H8" s="385"/>
      <c r="I8" s="370"/>
      <c r="J8" s="285"/>
      <c r="K8" s="265" t="s">
        <v>30</v>
      </c>
      <c r="L8" s="266"/>
      <c r="M8" s="267" t="s">
        <v>31</v>
      </c>
      <c r="N8" s="268"/>
      <c r="O8" s="265" t="s">
        <v>30</v>
      </c>
      <c r="P8" s="266"/>
      <c r="Q8" s="267" t="s">
        <v>31</v>
      </c>
      <c r="R8" s="268"/>
      <c r="S8" s="265" t="s">
        <v>30</v>
      </c>
      <c r="T8" s="266"/>
      <c r="U8" s="267" t="s">
        <v>31</v>
      </c>
      <c r="V8" s="268"/>
      <c r="W8" s="261"/>
      <c r="X8" s="262"/>
      <c r="Y8" s="264"/>
    </row>
    <row r="9" spans="1:30" ht="13.8">
      <c r="A9" s="1"/>
      <c r="B9" s="362" t="s">
        <v>32</v>
      </c>
      <c r="C9" s="260"/>
      <c r="D9" s="299" t="s">
        <v>33</v>
      </c>
      <c r="E9" s="11" t="s">
        <v>34</v>
      </c>
      <c r="F9" s="275" t="s">
        <v>35</v>
      </c>
      <c r="G9" s="258"/>
      <c r="H9" s="12">
        <v>4</v>
      </c>
      <c r="I9" s="13" t="s">
        <v>36</v>
      </c>
      <c r="J9" s="14">
        <v>3</v>
      </c>
      <c r="K9" s="269"/>
      <c r="L9" s="270"/>
      <c r="M9" s="271"/>
      <c r="N9" s="258"/>
      <c r="O9" s="272">
        <v>3</v>
      </c>
      <c r="P9" s="270"/>
      <c r="Q9" s="271"/>
      <c r="R9" s="258"/>
      <c r="S9" s="269"/>
      <c r="T9" s="270"/>
      <c r="U9" s="271"/>
      <c r="V9" s="258"/>
      <c r="W9" s="12">
        <v>3</v>
      </c>
      <c r="X9" s="283">
        <v>10</v>
      </c>
      <c r="Y9" s="294">
        <v>24</v>
      </c>
    </row>
    <row r="10" spans="1:30" ht="13.8">
      <c r="A10" s="1"/>
      <c r="B10" s="363"/>
      <c r="C10" s="295"/>
      <c r="D10" s="300"/>
      <c r="E10" s="15" t="s">
        <v>34</v>
      </c>
      <c r="F10" s="276" t="s">
        <v>37</v>
      </c>
      <c r="G10" s="277"/>
      <c r="H10" s="17">
        <v>4</v>
      </c>
      <c r="I10" s="18" t="s">
        <v>36</v>
      </c>
      <c r="J10" s="19">
        <v>3</v>
      </c>
      <c r="K10" s="278"/>
      <c r="L10" s="279"/>
      <c r="M10" s="280"/>
      <c r="N10" s="277"/>
      <c r="O10" s="278"/>
      <c r="P10" s="279"/>
      <c r="Q10" s="281">
        <v>3</v>
      </c>
      <c r="R10" s="277"/>
      <c r="S10" s="278"/>
      <c r="T10" s="279"/>
      <c r="U10" s="280"/>
      <c r="V10" s="277"/>
      <c r="W10" s="17">
        <v>3</v>
      </c>
      <c r="X10" s="284"/>
      <c r="Y10" s="295"/>
    </row>
    <row r="11" spans="1:30" ht="13.8">
      <c r="A11" s="1"/>
      <c r="B11" s="363"/>
      <c r="C11" s="295"/>
      <c r="D11" s="264"/>
      <c r="E11" s="25" t="s">
        <v>38</v>
      </c>
      <c r="F11" s="298" t="s">
        <v>39</v>
      </c>
      <c r="G11" s="268"/>
      <c r="H11" s="26">
        <v>4</v>
      </c>
      <c r="I11" s="27" t="s">
        <v>40</v>
      </c>
      <c r="J11" s="28">
        <v>4</v>
      </c>
      <c r="K11" s="274"/>
      <c r="L11" s="266"/>
      <c r="M11" s="273"/>
      <c r="N11" s="268"/>
      <c r="O11" s="274"/>
      <c r="P11" s="266"/>
      <c r="Q11" s="273"/>
      <c r="R11" s="268"/>
      <c r="S11" s="282">
        <v>4</v>
      </c>
      <c r="T11" s="266"/>
      <c r="U11" s="273"/>
      <c r="V11" s="268"/>
      <c r="W11" s="26">
        <v>4</v>
      </c>
      <c r="X11" s="285"/>
      <c r="Y11" s="295"/>
    </row>
    <row r="12" spans="1:30" ht="13.8">
      <c r="A12" s="1"/>
      <c r="B12" s="363"/>
      <c r="C12" s="295"/>
      <c r="D12" s="299" t="s">
        <v>41</v>
      </c>
      <c r="E12" s="11" t="s">
        <v>34</v>
      </c>
      <c r="F12" s="275" t="s">
        <v>42</v>
      </c>
      <c r="G12" s="258"/>
      <c r="H12" s="12">
        <v>4</v>
      </c>
      <c r="I12" s="13" t="s">
        <v>36</v>
      </c>
      <c r="J12" s="14">
        <v>3</v>
      </c>
      <c r="K12" s="272">
        <v>3</v>
      </c>
      <c r="L12" s="270"/>
      <c r="M12" s="271"/>
      <c r="N12" s="258"/>
      <c r="O12" s="269"/>
      <c r="P12" s="270"/>
      <c r="Q12" s="271"/>
      <c r="R12" s="258"/>
      <c r="S12" s="269"/>
      <c r="T12" s="270"/>
      <c r="U12" s="271"/>
      <c r="V12" s="258"/>
      <c r="W12" s="12">
        <v>3</v>
      </c>
      <c r="X12" s="283">
        <v>10</v>
      </c>
      <c r="Y12" s="295"/>
    </row>
    <row r="13" spans="1:30" ht="13.8">
      <c r="A13" s="1"/>
      <c r="B13" s="363"/>
      <c r="C13" s="295"/>
      <c r="D13" s="300"/>
      <c r="E13" s="15" t="s">
        <v>34</v>
      </c>
      <c r="F13" s="276" t="s">
        <v>43</v>
      </c>
      <c r="G13" s="277"/>
      <c r="H13" s="17">
        <v>4</v>
      </c>
      <c r="I13" s="18" t="s">
        <v>36</v>
      </c>
      <c r="J13" s="19">
        <v>3</v>
      </c>
      <c r="K13" s="278"/>
      <c r="L13" s="279"/>
      <c r="M13" s="281">
        <v>3</v>
      </c>
      <c r="N13" s="277"/>
      <c r="O13" s="278"/>
      <c r="P13" s="279"/>
      <c r="Q13" s="280"/>
      <c r="R13" s="277"/>
      <c r="S13" s="278"/>
      <c r="T13" s="279"/>
      <c r="U13" s="280"/>
      <c r="V13" s="277"/>
      <c r="W13" s="17">
        <v>3</v>
      </c>
      <c r="X13" s="284"/>
      <c r="Y13" s="295"/>
    </row>
    <row r="14" spans="1:30" ht="13.8">
      <c r="A14" s="1"/>
      <c r="B14" s="363"/>
      <c r="C14" s="295"/>
      <c r="D14" s="264"/>
      <c r="E14" s="25" t="s">
        <v>38</v>
      </c>
      <c r="F14" s="296" t="s">
        <v>44</v>
      </c>
      <c r="G14" s="268"/>
      <c r="H14" s="26">
        <v>4</v>
      </c>
      <c r="I14" s="27" t="s">
        <v>40</v>
      </c>
      <c r="J14" s="28">
        <v>4</v>
      </c>
      <c r="K14" s="274"/>
      <c r="L14" s="266"/>
      <c r="M14" s="273"/>
      <c r="N14" s="268"/>
      <c r="O14" s="274"/>
      <c r="P14" s="266"/>
      <c r="Q14" s="297">
        <v>4</v>
      </c>
      <c r="R14" s="268"/>
      <c r="S14" s="274"/>
      <c r="T14" s="266"/>
      <c r="U14" s="273"/>
      <c r="V14" s="268"/>
      <c r="W14" s="26">
        <v>4</v>
      </c>
      <c r="X14" s="285"/>
      <c r="Y14" s="295"/>
    </row>
    <row r="15" spans="1:30" ht="13.8">
      <c r="A15" s="1"/>
      <c r="B15" s="363"/>
      <c r="C15" s="295"/>
      <c r="D15" s="299" t="s">
        <v>45</v>
      </c>
      <c r="E15" s="11" t="s">
        <v>34</v>
      </c>
      <c r="F15" s="275" t="s">
        <v>46</v>
      </c>
      <c r="G15" s="258"/>
      <c r="H15" s="42">
        <v>4</v>
      </c>
      <c r="I15" s="43" t="s">
        <v>36</v>
      </c>
      <c r="J15" s="45">
        <v>3</v>
      </c>
      <c r="K15" s="301">
        <v>3</v>
      </c>
      <c r="L15" s="287"/>
      <c r="M15" s="288"/>
      <c r="N15" s="289"/>
      <c r="O15" s="286"/>
      <c r="P15" s="287"/>
      <c r="Q15" s="288"/>
      <c r="R15" s="289"/>
      <c r="S15" s="286"/>
      <c r="T15" s="287"/>
      <c r="U15" s="288"/>
      <c r="V15" s="289"/>
      <c r="W15" s="12">
        <v>3</v>
      </c>
      <c r="X15" s="283">
        <v>10</v>
      </c>
      <c r="Y15" s="295"/>
    </row>
    <row r="16" spans="1:30" ht="13.8">
      <c r="A16" s="1"/>
      <c r="B16" s="363"/>
      <c r="C16" s="295"/>
      <c r="D16" s="300"/>
      <c r="E16" s="15" t="s">
        <v>34</v>
      </c>
      <c r="F16" s="276" t="s">
        <v>47</v>
      </c>
      <c r="G16" s="277"/>
      <c r="H16" s="46">
        <v>4</v>
      </c>
      <c r="I16" s="18" t="s">
        <v>36</v>
      </c>
      <c r="J16" s="47">
        <v>3</v>
      </c>
      <c r="K16" s="278"/>
      <c r="L16" s="279"/>
      <c r="M16" s="281">
        <v>3</v>
      </c>
      <c r="N16" s="277"/>
      <c r="O16" s="278"/>
      <c r="P16" s="279"/>
      <c r="Q16" s="280"/>
      <c r="R16" s="277"/>
      <c r="S16" s="278"/>
      <c r="T16" s="279"/>
      <c r="U16" s="280"/>
      <c r="V16" s="277"/>
      <c r="W16" s="17">
        <v>3</v>
      </c>
      <c r="X16" s="284"/>
      <c r="Y16" s="295"/>
    </row>
    <row r="17" spans="1:25" ht="13.8">
      <c r="A17" s="1"/>
      <c r="B17" s="363"/>
      <c r="C17" s="295"/>
      <c r="D17" s="264"/>
      <c r="E17" s="25" t="s">
        <v>38</v>
      </c>
      <c r="F17" s="296" t="s">
        <v>48</v>
      </c>
      <c r="G17" s="268"/>
      <c r="H17" s="48">
        <v>4</v>
      </c>
      <c r="I17" s="49" t="s">
        <v>40</v>
      </c>
      <c r="J17" s="50">
        <v>4</v>
      </c>
      <c r="K17" s="290"/>
      <c r="L17" s="291"/>
      <c r="M17" s="292"/>
      <c r="N17" s="293"/>
      <c r="O17" s="290"/>
      <c r="P17" s="291"/>
      <c r="Q17" s="302">
        <v>4</v>
      </c>
      <c r="R17" s="293"/>
      <c r="S17" s="290"/>
      <c r="T17" s="291"/>
      <c r="U17" s="292"/>
      <c r="V17" s="293"/>
      <c r="W17" s="26">
        <v>4</v>
      </c>
      <c r="X17" s="285"/>
      <c r="Y17" s="289"/>
    </row>
    <row r="18" spans="1:25" ht="13.8">
      <c r="A18" s="1"/>
      <c r="B18" s="363"/>
      <c r="C18" s="295"/>
      <c r="D18" s="299" t="s">
        <v>49</v>
      </c>
      <c r="E18" s="11" t="s">
        <v>34</v>
      </c>
      <c r="F18" s="303" t="s">
        <v>50</v>
      </c>
      <c r="G18" s="270"/>
      <c r="H18" s="12">
        <v>3</v>
      </c>
      <c r="I18" s="13" t="s">
        <v>52</v>
      </c>
      <c r="J18" s="14">
        <v>3</v>
      </c>
      <c r="K18" s="269"/>
      <c r="L18" s="270"/>
      <c r="M18" s="271"/>
      <c r="N18" s="258"/>
      <c r="O18" s="272">
        <v>3</v>
      </c>
      <c r="P18" s="270"/>
      <c r="Q18" s="271"/>
      <c r="R18" s="258"/>
      <c r="S18" s="269"/>
      <c r="T18" s="270"/>
      <c r="U18" s="271"/>
      <c r="V18" s="258"/>
      <c r="W18" s="56">
        <v>3</v>
      </c>
      <c r="X18" s="376">
        <v>6</v>
      </c>
      <c r="Y18" s="304">
        <v>6</v>
      </c>
    </row>
    <row r="19" spans="1:25" ht="13.8">
      <c r="A19" s="1"/>
      <c r="B19" s="363"/>
      <c r="C19" s="295"/>
      <c r="D19" s="300"/>
      <c r="E19" s="58" t="s">
        <v>34</v>
      </c>
      <c r="F19" s="305" t="s">
        <v>55</v>
      </c>
      <c r="G19" s="266"/>
      <c r="H19" s="26">
        <v>3</v>
      </c>
      <c r="I19" s="27" t="s">
        <v>52</v>
      </c>
      <c r="J19" s="28">
        <v>3</v>
      </c>
      <c r="K19" s="274"/>
      <c r="L19" s="266"/>
      <c r="M19" s="273"/>
      <c r="N19" s="268"/>
      <c r="O19" s="274"/>
      <c r="P19" s="266"/>
      <c r="Q19" s="297">
        <v>3</v>
      </c>
      <c r="R19" s="268"/>
      <c r="S19" s="274"/>
      <c r="T19" s="266"/>
      <c r="U19" s="273"/>
      <c r="V19" s="268"/>
      <c r="W19" s="61">
        <v>3</v>
      </c>
      <c r="X19" s="370"/>
      <c r="Y19" s="285"/>
    </row>
    <row r="20" spans="1:25" ht="13.8">
      <c r="A20" s="1"/>
      <c r="B20" s="363"/>
      <c r="C20" s="295"/>
      <c r="D20" s="300"/>
      <c r="E20" s="62" t="s">
        <v>34</v>
      </c>
      <c r="F20" s="275" t="s">
        <v>56</v>
      </c>
      <c r="G20" s="258"/>
      <c r="H20" s="12">
        <v>4</v>
      </c>
      <c r="I20" s="13" t="s">
        <v>36</v>
      </c>
      <c r="J20" s="14">
        <v>3</v>
      </c>
      <c r="K20" s="272">
        <v>3</v>
      </c>
      <c r="L20" s="270"/>
      <c r="M20" s="271"/>
      <c r="N20" s="258"/>
      <c r="O20" s="269"/>
      <c r="P20" s="270"/>
      <c r="Q20" s="271"/>
      <c r="R20" s="258"/>
      <c r="S20" s="269"/>
      <c r="T20" s="270"/>
      <c r="U20" s="271"/>
      <c r="V20" s="258"/>
      <c r="W20" s="12">
        <v>3</v>
      </c>
      <c r="X20" s="283">
        <v>6</v>
      </c>
      <c r="Y20" s="294">
        <v>12</v>
      </c>
    </row>
    <row r="21" spans="1:25" ht="13.8">
      <c r="A21" s="1"/>
      <c r="B21" s="363"/>
      <c r="C21" s="295"/>
      <c r="D21" s="264"/>
      <c r="E21" s="58" t="s">
        <v>34</v>
      </c>
      <c r="F21" s="296" t="s">
        <v>57</v>
      </c>
      <c r="G21" s="268"/>
      <c r="H21" s="26">
        <v>4</v>
      </c>
      <c r="I21" s="27" t="s">
        <v>36</v>
      </c>
      <c r="J21" s="28">
        <v>3</v>
      </c>
      <c r="K21" s="274"/>
      <c r="L21" s="266"/>
      <c r="M21" s="297">
        <v>3</v>
      </c>
      <c r="N21" s="268"/>
      <c r="O21" s="274"/>
      <c r="P21" s="266"/>
      <c r="Q21" s="273"/>
      <c r="R21" s="268"/>
      <c r="S21" s="274"/>
      <c r="T21" s="266"/>
      <c r="U21" s="273"/>
      <c r="V21" s="268"/>
      <c r="W21" s="26">
        <v>3</v>
      </c>
      <c r="X21" s="285"/>
      <c r="Y21" s="295"/>
    </row>
    <row r="22" spans="1:25" ht="13.8">
      <c r="A22" s="1"/>
      <c r="B22" s="363"/>
      <c r="C22" s="295"/>
      <c r="D22" s="299" t="s">
        <v>58</v>
      </c>
      <c r="E22" s="11" t="s">
        <v>34</v>
      </c>
      <c r="F22" s="275" t="s">
        <v>59</v>
      </c>
      <c r="G22" s="258"/>
      <c r="H22" s="12">
        <v>4</v>
      </c>
      <c r="I22" s="13" t="s">
        <v>36</v>
      </c>
      <c r="J22" s="14">
        <v>3</v>
      </c>
      <c r="K22" s="272">
        <v>3</v>
      </c>
      <c r="L22" s="270"/>
      <c r="M22" s="271"/>
      <c r="N22" s="258"/>
      <c r="O22" s="269"/>
      <c r="P22" s="270"/>
      <c r="Q22" s="271"/>
      <c r="R22" s="258"/>
      <c r="S22" s="269"/>
      <c r="T22" s="270"/>
      <c r="U22" s="271"/>
      <c r="V22" s="258"/>
      <c r="W22" s="12">
        <v>3</v>
      </c>
      <c r="X22" s="283">
        <v>10</v>
      </c>
      <c r="Y22" s="295"/>
    </row>
    <row r="23" spans="1:25" ht="13.8">
      <c r="A23" s="1"/>
      <c r="B23" s="363"/>
      <c r="C23" s="295"/>
      <c r="D23" s="300"/>
      <c r="E23" s="15" t="s">
        <v>34</v>
      </c>
      <c r="F23" s="276" t="s">
        <v>60</v>
      </c>
      <c r="G23" s="277"/>
      <c r="H23" s="17">
        <v>4</v>
      </c>
      <c r="I23" s="18" t="s">
        <v>36</v>
      </c>
      <c r="J23" s="19">
        <v>3</v>
      </c>
      <c r="K23" s="278"/>
      <c r="L23" s="279"/>
      <c r="M23" s="281">
        <v>3</v>
      </c>
      <c r="N23" s="277"/>
      <c r="O23" s="278"/>
      <c r="P23" s="279"/>
      <c r="Q23" s="280"/>
      <c r="R23" s="277"/>
      <c r="S23" s="278"/>
      <c r="T23" s="279"/>
      <c r="U23" s="280"/>
      <c r="V23" s="277"/>
      <c r="W23" s="17">
        <v>3</v>
      </c>
      <c r="X23" s="284"/>
      <c r="Y23" s="295"/>
    </row>
    <row r="24" spans="1:25" ht="13.8">
      <c r="A24" s="1"/>
      <c r="B24" s="363"/>
      <c r="C24" s="295"/>
      <c r="D24" s="264"/>
      <c r="E24" s="58" t="s">
        <v>38</v>
      </c>
      <c r="F24" s="296" t="s">
        <v>92</v>
      </c>
      <c r="G24" s="268"/>
      <c r="H24" s="26">
        <v>4</v>
      </c>
      <c r="I24" s="27" t="s">
        <v>40</v>
      </c>
      <c r="J24" s="28">
        <v>4</v>
      </c>
      <c r="K24" s="274"/>
      <c r="L24" s="266"/>
      <c r="M24" s="273"/>
      <c r="N24" s="268"/>
      <c r="O24" s="282">
        <v>4</v>
      </c>
      <c r="P24" s="266"/>
      <c r="Q24" s="273"/>
      <c r="R24" s="268"/>
      <c r="S24" s="274"/>
      <c r="T24" s="266"/>
      <c r="U24" s="273"/>
      <c r="V24" s="268"/>
      <c r="W24" s="26">
        <v>4</v>
      </c>
      <c r="X24" s="285"/>
      <c r="Y24" s="289"/>
    </row>
    <row r="25" spans="1:25" ht="13.8">
      <c r="A25" s="1"/>
      <c r="B25" s="363"/>
      <c r="C25" s="295"/>
      <c r="D25" s="299" t="s">
        <v>62</v>
      </c>
      <c r="E25" s="11" t="s">
        <v>38</v>
      </c>
      <c r="F25" s="275" t="s">
        <v>63</v>
      </c>
      <c r="G25" s="258"/>
      <c r="H25" s="12">
        <v>3</v>
      </c>
      <c r="I25" s="13" t="s">
        <v>64</v>
      </c>
      <c r="J25" s="14">
        <v>2</v>
      </c>
      <c r="K25" s="272">
        <v>2</v>
      </c>
      <c r="L25" s="270"/>
      <c r="M25" s="271"/>
      <c r="N25" s="258"/>
      <c r="O25" s="269"/>
      <c r="P25" s="270"/>
      <c r="Q25" s="271"/>
      <c r="R25" s="258"/>
      <c r="S25" s="269"/>
      <c r="T25" s="270"/>
      <c r="U25" s="271"/>
      <c r="V25" s="258"/>
      <c r="W25" s="12">
        <v>2</v>
      </c>
      <c r="X25" s="283">
        <v>8</v>
      </c>
      <c r="Y25" s="310">
        <v>8</v>
      </c>
    </row>
    <row r="26" spans="1:25" ht="13.8">
      <c r="A26" s="1"/>
      <c r="B26" s="363"/>
      <c r="C26" s="295"/>
      <c r="D26" s="300"/>
      <c r="E26" s="15" t="s">
        <v>38</v>
      </c>
      <c r="F26" s="276" t="s">
        <v>65</v>
      </c>
      <c r="G26" s="277"/>
      <c r="H26" s="17">
        <v>3</v>
      </c>
      <c r="I26" s="18" t="s">
        <v>64</v>
      </c>
      <c r="J26" s="19">
        <v>2</v>
      </c>
      <c r="K26" s="278"/>
      <c r="L26" s="279"/>
      <c r="M26" s="281">
        <v>2</v>
      </c>
      <c r="N26" s="277"/>
      <c r="O26" s="278"/>
      <c r="P26" s="279"/>
      <c r="Q26" s="280"/>
      <c r="R26" s="277"/>
      <c r="S26" s="278"/>
      <c r="T26" s="279"/>
      <c r="U26" s="280"/>
      <c r="V26" s="277"/>
      <c r="W26" s="17">
        <v>2</v>
      </c>
      <c r="X26" s="284"/>
      <c r="Y26" s="300"/>
    </row>
    <row r="27" spans="1:25" ht="13.8">
      <c r="A27" s="1"/>
      <c r="B27" s="363"/>
      <c r="C27" s="295"/>
      <c r="D27" s="300"/>
      <c r="E27" s="15" t="s">
        <v>66</v>
      </c>
      <c r="F27" s="276" t="s">
        <v>67</v>
      </c>
      <c r="G27" s="277"/>
      <c r="H27" s="17">
        <v>3</v>
      </c>
      <c r="I27" s="18" t="s">
        <v>64</v>
      </c>
      <c r="J27" s="19">
        <v>2</v>
      </c>
      <c r="K27" s="278"/>
      <c r="L27" s="279"/>
      <c r="M27" s="280"/>
      <c r="N27" s="277"/>
      <c r="O27" s="329">
        <v>2</v>
      </c>
      <c r="P27" s="279"/>
      <c r="Q27" s="280"/>
      <c r="R27" s="277"/>
      <c r="S27" s="278"/>
      <c r="T27" s="279"/>
      <c r="U27" s="280"/>
      <c r="V27" s="277"/>
      <c r="W27" s="17">
        <v>2</v>
      </c>
      <c r="X27" s="284"/>
      <c r="Y27" s="300"/>
    </row>
    <row r="28" spans="1:25" ht="13.8">
      <c r="A28" s="1"/>
      <c r="B28" s="363"/>
      <c r="C28" s="295"/>
      <c r="D28" s="264"/>
      <c r="E28" s="58" t="s">
        <v>66</v>
      </c>
      <c r="F28" s="296" t="s">
        <v>68</v>
      </c>
      <c r="G28" s="268"/>
      <c r="H28" s="26">
        <v>3</v>
      </c>
      <c r="I28" s="27" t="s">
        <v>64</v>
      </c>
      <c r="J28" s="28">
        <v>2</v>
      </c>
      <c r="K28" s="274"/>
      <c r="L28" s="266"/>
      <c r="M28" s="273"/>
      <c r="N28" s="268"/>
      <c r="O28" s="274"/>
      <c r="P28" s="266"/>
      <c r="Q28" s="297">
        <v>2</v>
      </c>
      <c r="R28" s="268"/>
      <c r="S28" s="274"/>
      <c r="T28" s="266"/>
      <c r="U28" s="273"/>
      <c r="V28" s="268"/>
      <c r="W28" s="26">
        <v>2</v>
      </c>
      <c r="X28" s="285"/>
      <c r="Y28" s="264"/>
    </row>
    <row r="29" spans="1:25" ht="13.8">
      <c r="A29" s="1"/>
      <c r="B29" s="363"/>
      <c r="C29" s="295"/>
      <c r="D29" s="299" t="s">
        <v>69</v>
      </c>
      <c r="E29" s="11" t="s">
        <v>38</v>
      </c>
      <c r="F29" s="275" t="s">
        <v>70</v>
      </c>
      <c r="G29" s="258"/>
      <c r="H29" s="12">
        <v>3</v>
      </c>
      <c r="I29" s="13" t="s">
        <v>64</v>
      </c>
      <c r="J29" s="14">
        <v>3</v>
      </c>
      <c r="K29" s="272">
        <v>3</v>
      </c>
      <c r="L29" s="270"/>
      <c r="M29" s="271"/>
      <c r="N29" s="258"/>
      <c r="O29" s="269"/>
      <c r="P29" s="270"/>
      <c r="Q29" s="271"/>
      <c r="R29" s="258"/>
      <c r="S29" s="269"/>
      <c r="T29" s="270"/>
      <c r="U29" s="271"/>
      <c r="V29" s="258"/>
      <c r="W29" s="56">
        <v>3</v>
      </c>
      <c r="X29" s="308">
        <v>6</v>
      </c>
      <c r="Y29" s="310">
        <v>6</v>
      </c>
    </row>
    <row r="30" spans="1:25" ht="13.8">
      <c r="A30" s="1"/>
      <c r="B30" s="363"/>
      <c r="C30" s="295"/>
      <c r="D30" s="264"/>
      <c r="E30" s="58" t="s">
        <v>71</v>
      </c>
      <c r="F30" s="296" t="s">
        <v>72</v>
      </c>
      <c r="G30" s="268"/>
      <c r="H30" s="26">
        <v>3</v>
      </c>
      <c r="I30" s="27" t="s">
        <v>64</v>
      </c>
      <c r="J30" s="28">
        <v>3</v>
      </c>
      <c r="K30" s="274"/>
      <c r="L30" s="266"/>
      <c r="M30" s="297">
        <v>3</v>
      </c>
      <c r="N30" s="268"/>
      <c r="O30" s="274"/>
      <c r="P30" s="266"/>
      <c r="Q30" s="273"/>
      <c r="R30" s="268"/>
      <c r="S30" s="274"/>
      <c r="T30" s="266"/>
      <c r="U30" s="273"/>
      <c r="V30" s="268"/>
      <c r="W30" s="61">
        <v>3</v>
      </c>
      <c r="X30" s="309"/>
      <c r="Y30" s="264"/>
    </row>
    <row r="31" spans="1:25" ht="13.8">
      <c r="A31" s="1"/>
      <c r="B31" s="363"/>
      <c r="C31" s="295"/>
      <c r="D31" s="299" t="s">
        <v>73</v>
      </c>
      <c r="E31" s="11" t="s">
        <v>38</v>
      </c>
      <c r="F31" s="405" t="s">
        <v>74</v>
      </c>
      <c r="G31" s="287"/>
      <c r="H31" s="12">
        <v>4</v>
      </c>
      <c r="I31" s="13" t="s">
        <v>40</v>
      </c>
      <c r="J31" s="14">
        <v>3</v>
      </c>
      <c r="K31" s="286"/>
      <c r="L31" s="287"/>
      <c r="M31" s="288"/>
      <c r="N31" s="289"/>
      <c r="O31" s="301">
        <v>3</v>
      </c>
      <c r="P31" s="287"/>
      <c r="Q31" s="288"/>
      <c r="R31" s="289"/>
      <c r="S31" s="286"/>
      <c r="T31" s="287"/>
      <c r="U31" s="288"/>
      <c r="V31" s="289"/>
      <c r="W31" s="12">
        <v>3</v>
      </c>
      <c r="X31" s="283">
        <v>9</v>
      </c>
      <c r="Y31" s="294">
        <v>8</v>
      </c>
    </row>
    <row r="32" spans="1:25" ht="13.8">
      <c r="A32" s="1"/>
      <c r="B32" s="363"/>
      <c r="C32" s="295"/>
      <c r="D32" s="300"/>
      <c r="E32" s="15" t="s">
        <v>71</v>
      </c>
      <c r="F32" s="312" t="s">
        <v>75</v>
      </c>
      <c r="G32" s="279"/>
      <c r="H32" s="17">
        <v>4</v>
      </c>
      <c r="I32" s="18" t="s">
        <v>40</v>
      </c>
      <c r="J32" s="19">
        <v>3</v>
      </c>
      <c r="K32" s="278"/>
      <c r="L32" s="279"/>
      <c r="M32" s="280"/>
      <c r="N32" s="277"/>
      <c r="O32" s="278"/>
      <c r="P32" s="279"/>
      <c r="Q32" s="281">
        <v>3</v>
      </c>
      <c r="R32" s="277"/>
      <c r="S32" s="278"/>
      <c r="T32" s="279"/>
      <c r="U32" s="280"/>
      <c r="V32" s="277"/>
      <c r="W32" s="17">
        <v>3</v>
      </c>
      <c r="X32" s="284"/>
      <c r="Y32" s="295"/>
    </row>
    <row r="33" spans="1:25" ht="13.8">
      <c r="A33" s="1"/>
      <c r="B33" s="261"/>
      <c r="C33" s="262"/>
      <c r="D33" s="264"/>
      <c r="E33" s="25" t="s">
        <v>38</v>
      </c>
      <c r="F33" s="313" t="s">
        <v>122</v>
      </c>
      <c r="G33" s="291"/>
      <c r="H33" s="74">
        <v>4</v>
      </c>
      <c r="I33" s="75" t="s">
        <v>36</v>
      </c>
      <c r="J33" s="76">
        <v>3</v>
      </c>
      <c r="K33" s="314"/>
      <c r="L33" s="291"/>
      <c r="M33" s="336">
        <v>3</v>
      </c>
      <c r="N33" s="293"/>
      <c r="O33" s="320"/>
      <c r="P33" s="291"/>
      <c r="Q33" s="311"/>
      <c r="R33" s="293"/>
      <c r="S33" s="314"/>
      <c r="T33" s="291"/>
      <c r="U33" s="311"/>
      <c r="V33" s="293"/>
      <c r="W33" s="77">
        <v>3</v>
      </c>
      <c r="X33" s="285"/>
      <c r="Y33" s="289"/>
    </row>
    <row r="34" spans="1:25" ht="13.8">
      <c r="A34" s="1"/>
      <c r="B34" s="321" t="s">
        <v>76</v>
      </c>
      <c r="C34" s="372"/>
      <c r="D34" s="372"/>
      <c r="E34" s="372"/>
      <c r="F34" s="372"/>
      <c r="G34" s="316"/>
      <c r="H34" s="78">
        <f>SUM(H9:H33)</f>
        <v>92</v>
      </c>
      <c r="I34" s="79"/>
      <c r="J34" s="80">
        <f>SUM(J9:J33)</f>
        <v>75</v>
      </c>
      <c r="K34" s="321">
        <f>SUM(K9:L33)</f>
        <v>17</v>
      </c>
      <c r="L34" s="316"/>
      <c r="M34" s="337">
        <f>SUM(M9:N33)</f>
        <v>20</v>
      </c>
      <c r="N34" s="323"/>
      <c r="O34" s="321">
        <f>SUM(O9:P33)</f>
        <v>15</v>
      </c>
      <c r="P34" s="316"/>
      <c r="Q34" s="337">
        <f>SUM(Q9:R33)</f>
        <v>19</v>
      </c>
      <c r="R34" s="323"/>
      <c r="S34" s="321">
        <f>SUM(S9:T33)</f>
        <v>4</v>
      </c>
      <c r="T34" s="316"/>
      <c r="U34" s="337">
        <v>0</v>
      </c>
      <c r="V34" s="323"/>
      <c r="W34" s="361">
        <f>SUM(K34:V34)</f>
        <v>75</v>
      </c>
      <c r="X34" s="316"/>
      <c r="Y34" s="81">
        <v>64</v>
      </c>
    </row>
    <row r="35" spans="1:25" ht="13.8">
      <c r="A35" s="1"/>
      <c r="B35" s="362" t="s">
        <v>93</v>
      </c>
      <c r="C35" s="260"/>
      <c r="D35" s="406" t="s">
        <v>94</v>
      </c>
      <c r="E35" s="316"/>
      <c r="F35" s="407" t="s">
        <v>104</v>
      </c>
      <c r="G35" s="316"/>
      <c r="H35" s="82"/>
      <c r="I35" s="83"/>
      <c r="J35" s="84">
        <v>2</v>
      </c>
      <c r="K35" s="315"/>
      <c r="L35" s="316"/>
      <c r="M35" s="338"/>
      <c r="N35" s="323"/>
      <c r="O35" s="339"/>
      <c r="P35" s="316"/>
      <c r="Q35" s="322"/>
      <c r="R35" s="323"/>
      <c r="S35" s="388">
        <v>2</v>
      </c>
      <c r="T35" s="316"/>
      <c r="U35" s="322"/>
      <c r="V35" s="323"/>
      <c r="W35" s="324">
        <v>2</v>
      </c>
      <c r="X35" s="323"/>
      <c r="Y35" s="294">
        <v>80</v>
      </c>
    </row>
    <row r="36" spans="1:25" ht="13.8">
      <c r="A36" s="1"/>
      <c r="B36" s="363"/>
      <c r="C36" s="295"/>
      <c r="D36" s="85" t="s">
        <v>95</v>
      </c>
      <c r="E36" s="86" t="s">
        <v>77</v>
      </c>
      <c r="F36" s="407" t="s">
        <v>123</v>
      </c>
      <c r="G36" s="316"/>
      <c r="H36" s="82"/>
      <c r="I36" s="83"/>
      <c r="J36" s="84">
        <v>3</v>
      </c>
      <c r="K36" s="317">
        <v>3</v>
      </c>
      <c r="L36" s="316"/>
      <c r="M36" s="338"/>
      <c r="N36" s="323"/>
      <c r="O36" s="339"/>
      <c r="P36" s="316"/>
      <c r="Q36" s="322"/>
      <c r="R36" s="323"/>
      <c r="S36" s="339"/>
      <c r="T36" s="316"/>
      <c r="U36" s="322"/>
      <c r="V36" s="323"/>
      <c r="W36" s="324">
        <v>3</v>
      </c>
      <c r="X36" s="323"/>
      <c r="Y36" s="295"/>
    </row>
    <row r="37" spans="1:25" ht="13.8">
      <c r="A37" s="1"/>
      <c r="B37" s="363"/>
      <c r="C37" s="295"/>
      <c r="D37" s="87" t="s">
        <v>95</v>
      </c>
      <c r="E37" s="43" t="s">
        <v>79</v>
      </c>
      <c r="F37" s="408" t="s">
        <v>124</v>
      </c>
      <c r="G37" s="287"/>
      <c r="H37" s="88"/>
      <c r="I37" s="89"/>
      <c r="J37" s="45">
        <v>9</v>
      </c>
      <c r="K37" s="318">
        <v>6</v>
      </c>
      <c r="L37" s="287"/>
      <c r="M37" s="325">
        <v>3</v>
      </c>
      <c r="N37" s="289"/>
      <c r="O37" s="286"/>
      <c r="P37" s="287"/>
      <c r="Q37" s="288"/>
      <c r="R37" s="289"/>
      <c r="S37" s="286"/>
      <c r="T37" s="287"/>
      <c r="U37" s="288"/>
      <c r="V37" s="289"/>
      <c r="W37" s="326">
        <v>9</v>
      </c>
      <c r="X37" s="289"/>
      <c r="Y37" s="295"/>
    </row>
    <row r="38" spans="1:25" ht="13.8">
      <c r="A38" s="1"/>
      <c r="B38" s="363"/>
      <c r="C38" s="295"/>
      <c r="D38" s="17" t="s">
        <v>95</v>
      </c>
      <c r="E38" s="18" t="s">
        <v>79</v>
      </c>
      <c r="F38" s="367" t="s">
        <v>97</v>
      </c>
      <c r="G38" s="279"/>
      <c r="H38" s="4"/>
      <c r="I38" s="2"/>
      <c r="J38" s="47">
        <v>9</v>
      </c>
      <c r="K38" s="319">
        <v>3</v>
      </c>
      <c r="L38" s="279"/>
      <c r="M38" s="327">
        <v>6</v>
      </c>
      <c r="N38" s="277"/>
      <c r="O38" s="278"/>
      <c r="P38" s="279"/>
      <c r="Q38" s="280"/>
      <c r="R38" s="277"/>
      <c r="S38" s="278"/>
      <c r="T38" s="279"/>
      <c r="U38" s="280"/>
      <c r="V38" s="277"/>
      <c r="W38" s="342">
        <v>9</v>
      </c>
      <c r="X38" s="277"/>
      <c r="Y38" s="295"/>
    </row>
    <row r="39" spans="1:25" ht="13.8">
      <c r="A39" s="1"/>
      <c r="B39" s="363"/>
      <c r="C39" s="295"/>
      <c r="D39" s="17" t="s">
        <v>95</v>
      </c>
      <c r="E39" s="18" t="s">
        <v>79</v>
      </c>
      <c r="F39" s="367" t="s">
        <v>125</v>
      </c>
      <c r="G39" s="279"/>
      <c r="H39" s="4"/>
      <c r="I39" s="2"/>
      <c r="J39" s="90">
        <v>12</v>
      </c>
      <c r="K39" s="343"/>
      <c r="L39" s="279"/>
      <c r="M39" s="328"/>
      <c r="N39" s="277"/>
      <c r="O39" s="319">
        <v>7</v>
      </c>
      <c r="P39" s="279"/>
      <c r="Q39" s="281">
        <v>5</v>
      </c>
      <c r="R39" s="277"/>
      <c r="S39" s="278"/>
      <c r="T39" s="279"/>
      <c r="U39" s="280"/>
      <c r="V39" s="277"/>
      <c r="W39" s="342">
        <v>12</v>
      </c>
      <c r="X39" s="277"/>
      <c r="Y39" s="295"/>
    </row>
    <row r="40" spans="1:25" ht="13.8">
      <c r="A40" s="1"/>
      <c r="B40" s="363"/>
      <c r="C40" s="295"/>
      <c r="D40" s="17" t="s">
        <v>95</v>
      </c>
      <c r="E40" s="18" t="s">
        <v>79</v>
      </c>
      <c r="F40" s="367" t="s">
        <v>100</v>
      </c>
      <c r="G40" s="279"/>
      <c r="H40" s="4"/>
      <c r="I40" s="2"/>
      <c r="J40" s="90">
        <v>12</v>
      </c>
      <c r="K40" s="343"/>
      <c r="L40" s="279"/>
      <c r="M40" s="328"/>
      <c r="N40" s="277"/>
      <c r="O40" s="319">
        <v>7</v>
      </c>
      <c r="P40" s="279"/>
      <c r="Q40" s="281">
        <v>5</v>
      </c>
      <c r="R40" s="277"/>
      <c r="S40" s="278"/>
      <c r="T40" s="279"/>
      <c r="U40" s="280"/>
      <c r="V40" s="277"/>
      <c r="W40" s="342">
        <v>12</v>
      </c>
      <c r="X40" s="277"/>
      <c r="Y40" s="295"/>
    </row>
    <row r="41" spans="1:25" ht="13.8">
      <c r="A41" s="1"/>
      <c r="B41" s="363"/>
      <c r="C41" s="295"/>
      <c r="D41" s="17" t="s">
        <v>95</v>
      </c>
      <c r="E41" s="18" t="s">
        <v>79</v>
      </c>
      <c r="F41" s="367" t="s">
        <v>126</v>
      </c>
      <c r="G41" s="279"/>
      <c r="H41" s="4"/>
      <c r="I41" s="2"/>
      <c r="J41" s="90">
        <v>8</v>
      </c>
      <c r="K41" s="343"/>
      <c r="L41" s="279"/>
      <c r="M41" s="328"/>
      <c r="N41" s="277"/>
      <c r="O41" s="343"/>
      <c r="P41" s="279"/>
      <c r="Q41" s="280"/>
      <c r="R41" s="277"/>
      <c r="S41" s="329">
        <v>4</v>
      </c>
      <c r="T41" s="279"/>
      <c r="U41" s="330">
        <v>4</v>
      </c>
      <c r="V41" s="277"/>
      <c r="W41" s="342">
        <f t="shared" ref="W41:W43" si="0">SUM(K41:V41)</f>
        <v>8</v>
      </c>
      <c r="X41" s="277"/>
      <c r="Y41" s="295"/>
    </row>
    <row r="42" spans="1:25" ht="13.8">
      <c r="A42" s="1"/>
      <c r="B42" s="363"/>
      <c r="C42" s="295"/>
      <c r="D42" s="17" t="s">
        <v>95</v>
      </c>
      <c r="E42" s="18" t="s">
        <v>79</v>
      </c>
      <c r="F42" s="367" t="s">
        <v>102</v>
      </c>
      <c r="G42" s="279"/>
      <c r="H42" s="4"/>
      <c r="I42" s="2"/>
      <c r="J42" s="47">
        <v>3</v>
      </c>
      <c r="K42" s="343"/>
      <c r="L42" s="279"/>
      <c r="M42" s="328"/>
      <c r="N42" s="277"/>
      <c r="O42" s="278"/>
      <c r="P42" s="279"/>
      <c r="Q42" s="280"/>
      <c r="R42" s="277"/>
      <c r="S42" s="389">
        <v>3</v>
      </c>
      <c r="T42" s="279"/>
      <c r="U42" s="346"/>
      <c r="V42" s="277"/>
      <c r="W42" s="342">
        <f t="shared" si="0"/>
        <v>3</v>
      </c>
      <c r="X42" s="277"/>
      <c r="Y42" s="295"/>
    </row>
    <row r="43" spans="1:25" ht="13.8">
      <c r="A43" s="1"/>
      <c r="B43" s="261"/>
      <c r="C43" s="262"/>
      <c r="D43" s="26" t="s">
        <v>95</v>
      </c>
      <c r="E43" s="27" t="s">
        <v>79</v>
      </c>
      <c r="F43" s="396" t="s">
        <v>103</v>
      </c>
      <c r="G43" s="266"/>
      <c r="H43" s="9"/>
      <c r="I43" s="10"/>
      <c r="J43" s="91">
        <v>3</v>
      </c>
      <c r="K43" s="347"/>
      <c r="L43" s="266"/>
      <c r="M43" s="333"/>
      <c r="N43" s="268"/>
      <c r="O43" s="274"/>
      <c r="P43" s="266"/>
      <c r="Q43" s="273"/>
      <c r="R43" s="268"/>
      <c r="S43" s="348"/>
      <c r="T43" s="266"/>
      <c r="U43" s="344">
        <v>3</v>
      </c>
      <c r="V43" s="268"/>
      <c r="W43" s="345">
        <f t="shared" si="0"/>
        <v>3</v>
      </c>
      <c r="X43" s="268"/>
      <c r="Y43" s="295"/>
    </row>
    <row r="44" spans="1:25" ht="13.8">
      <c r="A44" s="1"/>
      <c r="B44" s="390" t="s">
        <v>85</v>
      </c>
      <c r="C44" s="391" t="s">
        <v>127</v>
      </c>
      <c r="D44" s="13" t="s">
        <v>95</v>
      </c>
      <c r="E44" s="13" t="s">
        <v>79</v>
      </c>
      <c r="F44" s="409" t="s">
        <v>128</v>
      </c>
      <c r="G44" s="270"/>
      <c r="H44" s="7"/>
      <c r="I44" s="8"/>
      <c r="J44" s="308">
        <v>38</v>
      </c>
      <c r="K44" s="349"/>
      <c r="L44" s="270"/>
      <c r="M44" s="351"/>
      <c r="N44" s="258"/>
      <c r="O44" s="269"/>
      <c r="P44" s="270"/>
      <c r="Q44" s="271"/>
      <c r="R44" s="258"/>
      <c r="S44" s="272">
        <v>6</v>
      </c>
      <c r="T44" s="270"/>
      <c r="U44" s="350">
        <v>6</v>
      </c>
      <c r="V44" s="258"/>
      <c r="W44" s="340">
        <v>38</v>
      </c>
      <c r="X44" s="260"/>
      <c r="Y44" s="295"/>
    </row>
    <row r="45" spans="1:25" ht="13.8">
      <c r="A45" s="1"/>
      <c r="B45" s="300"/>
      <c r="C45" s="392"/>
      <c r="D45" s="18" t="s">
        <v>95</v>
      </c>
      <c r="E45" s="18" t="s">
        <v>79</v>
      </c>
      <c r="F45" s="367" t="s">
        <v>129</v>
      </c>
      <c r="G45" s="279"/>
      <c r="H45" s="4"/>
      <c r="I45" s="2"/>
      <c r="J45" s="410"/>
      <c r="K45" s="343"/>
      <c r="L45" s="279"/>
      <c r="M45" s="328"/>
      <c r="N45" s="277"/>
      <c r="O45" s="278"/>
      <c r="P45" s="279"/>
      <c r="Q45" s="280"/>
      <c r="R45" s="277"/>
      <c r="S45" s="329">
        <v>6</v>
      </c>
      <c r="T45" s="279"/>
      <c r="U45" s="330">
        <v>6</v>
      </c>
      <c r="V45" s="277"/>
      <c r="W45" s="307"/>
      <c r="X45" s="295"/>
      <c r="Y45" s="295"/>
    </row>
    <row r="46" spans="1:25" ht="13.8">
      <c r="A46" s="1"/>
      <c r="B46" s="300"/>
      <c r="C46" s="393"/>
      <c r="D46" s="18" t="s">
        <v>95</v>
      </c>
      <c r="E46" s="18" t="s">
        <v>79</v>
      </c>
      <c r="F46" s="367" t="s">
        <v>130</v>
      </c>
      <c r="G46" s="279"/>
      <c r="H46" s="4"/>
      <c r="I46" s="2"/>
      <c r="J46" s="411"/>
      <c r="K46" s="343"/>
      <c r="L46" s="279"/>
      <c r="M46" s="328"/>
      <c r="N46" s="277"/>
      <c r="O46" s="278"/>
      <c r="P46" s="279"/>
      <c r="Q46" s="280"/>
      <c r="R46" s="277"/>
      <c r="S46" s="329">
        <v>4</v>
      </c>
      <c r="T46" s="279"/>
      <c r="U46" s="330">
        <v>10</v>
      </c>
      <c r="V46" s="277"/>
      <c r="W46" s="307"/>
      <c r="X46" s="295"/>
      <c r="Y46" s="295"/>
    </row>
    <row r="47" spans="1:25" ht="13.8">
      <c r="A47" s="1"/>
      <c r="B47" s="300"/>
      <c r="C47" s="394" t="s">
        <v>131</v>
      </c>
      <c r="D47" s="18" t="s">
        <v>95</v>
      </c>
      <c r="E47" s="18" t="s">
        <v>79</v>
      </c>
      <c r="F47" s="367" t="s">
        <v>109</v>
      </c>
      <c r="G47" s="279"/>
      <c r="H47" s="4"/>
      <c r="I47" s="2"/>
      <c r="J47" s="412">
        <v>38</v>
      </c>
      <c r="K47" s="343"/>
      <c r="L47" s="279"/>
      <c r="M47" s="328"/>
      <c r="N47" s="277"/>
      <c r="O47" s="278"/>
      <c r="P47" s="279"/>
      <c r="Q47" s="280"/>
      <c r="R47" s="277"/>
      <c r="S47" s="331">
        <v>8</v>
      </c>
      <c r="T47" s="279"/>
      <c r="U47" s="332">
        <v>8</v>
      </c>
      <c r="V47" s="277"/>
      <c r="W47" s="307"/>
      <c r="X47" s="295"/>
      <c r="Y47" s="295"/>
    </row>
    <row r="48" spans="1:25" ht="13.8">
      <c r="A48" s="1"/>
      <c r="B48" s="300"/>
      <c r="C48" s="392"/>
      <c r="D48" s="18" t="s">
        <v>95</v>
      </c>
      <c r="E48" s="18" t="s">
        <v>79</v>
      </c>
      <c r="F48" s="367" t="s">
        <v>110</v>
      </c>
      <c r="G48" s="279"/>
      <c r="H48" s="4"/>
      <c r="I48" s="2"/>
      <c r="J48" s="410"/>
      <c r="K48" s="343"/>
      <c r="L48" s="279"/>
      <c r="M48" s="328"/>
      <c r="N48" s="277"/>
      <c r="O48" s="278"/>
      <c r="P48" s="279"/>
      <c r="Q48" s="280"/>
      <c r="R48" s="277"/>
      <c r="S48" s="331">
        <v>8</v>
      </c>
      <c r="T48" s="279"/>
      <c r="U48" s="332">
        <v>8</v>
      </c>
      <c r="V48" s="277"/>
      <c r="W48" s="307"/>
      <c r="X48" s="295"/>
      <c r="Y48" s="295"/>
    </row>
    <row r="49" spans="1:25" ht="13.8">
      <c r="A49" s="1"/>
      <c r="B49" s="264"/>
      <c r="C49" s="385"/>
      <c r="D49" s="27" t="s">
        <v>95</v>
      </c>
      <c r="E49" s="27" t="s">
        <v>79</v>
      </c>
      <c r="F49" s="396" t="s">
        <v>113</v>
      </c>
      <c r="G49" s="266"/>
      <c r="H49" s="9"/>
      <c r="I49" s="10"/>
      <c r="J49" s="309"/>
      <c r="K49" s="347"/>
      <c r="L49" s="266"/>
      <c r="M49" s="333"/>
      <c r="N49" s="268"/>
      <c r="O49" s="274"/>
      <c r="P49" s="266"/>
      <c r="Q49" s="273"/>
      <c r="R49" s="268"/>
      <c r="S49" s="334"/>
      <c r="T49" s="266"/>
      <c r="U49" s="335">
        <v>6</v>
      </c>
      <c r="V49" s="268"/>
      <c r="W49" s="341"/>
      <c r="X49" s="262"/>
      <c r="Y49" s="289"/>
    </row>
    <row r="50" spans="1:25" ht="13.2">
      <c r="A50" s="1"/>
      <c r="B50" s="357" t="s">
        <v>86</v>
      </c>
      <c r="C50" s="368"/>
      <c r="D50" s="368"/>
      <c r="E50" s="368"/>
      <c r="F50" s="368"/>
      <c r="G50" s="358"/>
      <c r="H50" s="369">
        <v>0</v>
      </c>
      <c r="I50" s="369">
        <v>0</v>
      </c>
      <c r="J50" s="356">
        <v>99</v>
      </c>
      <c r="K50" s="357">
        <f>SUM(K35:L49)</f>
        <v>12</v>
      </c>
      <c r="L50" s="358"/>
      <c r="M50" s="356">
        <f>SUM(M35:N49)</f>
        <v>9</v>
      </c>
      <c r="N50" s="260"/>
      <c r="O50" s="357">
        <f>SUM(O35:P49)</f>
        <v>14</v>
      </c>
      <c r="P50" s="358"/>
      <c r="Q50" s="356">
        <f>SUM(Q35:R49)</f>
        <v>10</v>
      </c>
      <c r="R50" s="260"/>
      <c r="S50" s="357">
        <f>SUM(S35:S46)</f>
        <v>25</v>
      </c>
      <c r="T50" s="358"/>
      <c r="U50" s="356">
        <f>SUM(U35:U46)</f>
        <v>29</v>
      </c>
      <c r="V50" s="260"/>
      <c r="W50" s="360">
        <f>SUM(W35:W46)</f>
        <v>99</v>
      </c>
      <c r="X50" s="358"/>
      <c r="Y50" s="304">
        <v>80</v>
      </c>
    </row>
    <row r="51" spans="1:25" ht="13.2">
      <c r="A51" s="1"/>
      <c r="B51" s="261"/>
      <c r="C51" s="341"/>
      <c r="D51" s="341"/>
      <c r="E51" s="341"/>
      <c r="F51" s="341"/>
      <c r="G51" s="359"/>
      <c r="H51" s="370"/>
      <c r="I51" s="370"/>
      <c r="J51" s="309"/>
      <c r="K51" s="261"/>
      <c r="L51" s="359"/>
      <c r="M51" s="309"/>
      <c r="N51" s="262"/>
      <c r="O51" s="261"/>
      <c r="P51" s="359"/>
      <c r="Q51" s="309"/>
      <c r="R51" s="262"/>
      <c r="S51" s="261"/>
      <c r="T51" s="359"/>
      <c r="U51" s="309"/>
      <c r="V51" s="262"/>
      <c r="W51" s="341"/>
      <c r="X51" s="359"/>
      <c r="Y51" s="285"/>
    </row>
    <row r="52" spans="1:25" ht="13.8">
      <c r="A52" s="1"/>
      <c r="B52" s="371"/>
      <c r="C52" s="372"/>
      <c r="D52" s="372"/>
      <c r="E52" s="372"/>
      <c r="F52" s="372"/>
      <c r="G52" s="316"/>
      <c r="H52" s="78">
        <v>49</v>
      </c>
      <c r="I52" s="78">
        <v>0</v>
      </c>
      <c r="J52" s="80">
        <f>SUM(J50:J51)</f>
        <v>99</v>
      </c>
      <c r="K52" s="321">
        <f>SUM(K34,K50)</f>
        <v>29</v>
      </c>
      <c r="L52" s="316"/>
      <c r="M52" s="337">
        <f>SUM(M34,M50)</f>
        <v>29</v>
      </c>
      <c r="N52" s="323"/>
      <c r="O52" s="321">
        <f>SUM(O34,O50)</f>
        <v>29</v>
      </c>
      <c r="P52" s="316"/>
      <c r="Q52" s="337">
        <f>SUM(Q34,Q50)</f>
        <v>29</v>
      </c>
      <c r="R52" s="323"/>
      <c r="S52" s="321">
        <f>SUM(S34,S50)</f>
        <v>29</v>
      </c>
      <c r="T52" s="316"/>
      <c r="U52" s="337">
        <f>SUM(U34,U50)</f>
        <v>29</v>
      </c>
      <c r="V52" s="323"/>
      <c r="W52" s="361">
        <v>174</v>
      </c>
      <c r="X52" s="316"/>
      <c r="Y52" s="100">
        <v>144</v>
      </c>
    </row>
    <row r="53" spans="1:25" ht="13.2">
      <c r="A53" s="1"/>
      <c r="B53" s="362" t="s">
        <v>87</v>
      </c>
      <c r="C53" s="368"/>
      <c r="D53" s="368"/>
      <c r="E53" s="358"/>
      <c r="F53" s="397" t="s">
        <v>88</v>
      </c>
      <c r="G53" s="257"/>
      <c r="H53" s="257"/>
      <c r="I53" s="257"/>
      <c r="J53" s="258"/>
      <c r="K53" s="272">
        <v>16</v>
      </c>
      <c r="L53" s="270"/>
      <c r="M53" s="366">
        <v>16</v>
      </c>
      <c r="N53" s="258"/>
      <c r="O53" s="272">
        <v>16</v>
      </c>
      <c r="P53" s="270"/>
      <c r="Q53" s="366">
        <v>16</v>
      </c>
      <c r="R53" s="258"/>
      <c r="S53" s="272">
        <v>16</v>
      </c>
      <c r="T53" s="270"/>
      <c r="U53" s="366">
        <v>16</v>
      </c>
      <c r="V53" s="258"/>
      <c r="W53" s="362">
        <v>288</v>
      </c>
      <c r="X53" s="260"/>
      <c r="Y53" s="365">
        <v>288</v>
      </c>
    </row>
    <row r="54" spans="1:25" ht="13.2">
      <c r="A54" s="1"/>
      <c r="B54" s="363"/>
      <c r="C54" s="307"/>
      <c r="D54" s="307"/>
      <c r="E54" s="395"/>
      <c r="F54" s="352" t="s">
        <v>89</v>
      </c>
      <c r="G54" s="353"/>
      <c r="H54" s="353"/>
      <c r="I54" s="353"/>
      <c r="J54" s="277"/>
      <c r="K54" s="329">
        <v>16</v>
      </c>
      <c r="L54" s="279"/>
      <c r="M54" s="281">
        <v>16</v>
      </c>
      <c r="N54" s="277"/>
      <c r="O54" s="329">
        <v>16</v>
      </c>
      <c r="P54" s="279"/>
      <c r="Q54" s="281">
        <v>16</v>
      </c>
      <c r="R54" s="277"/>
      <c r="S54" s="329">
        <v>16</v>
      </c>
      <c r="T54" s="279"/>
      <c r="U54" s="281">
        <v>16</v>
      </c>
      <c r="V54" s="277"/>
      <c r="W54" s="363"/>
      <c r="X54" s="295"/>
      <c r="Y54" s="295"/>
    </row>
    <row r="55" spans="1:25" ht="13.2">
      <c r="A55" s="1"/>
      <c r="B55" s="363"/>
      <c r="C55" s="307"/>
      <c r="D55" s="307"/>
      <c r="E55" s="395"/>
      <c r="F55" s="352" t="s">
        <v>90</v>
      </c>
      <c r="G55" s="353"/>
      <c r="H55" s="353"/>
      <c r="I55" s="353"/>
      <c r="J55" s="277"/>
      <c r="K55" s="329">
        <v>16</v>
      </c>
      <c r="L55" s="279"/>
      <c r="M55" s="281">
        <v>16</v>
      </c>
      <c r="N55" s="277"/>
      <c r="O55" s="329">
        <v>16</v>
      </c>
      <c r="P55" s="279"/>
      <c r="Q55" s="281">
        <v>16</v>
      </c>
      <c r="R55" s="277"/>
      <c r="S55" s="329">
        <v>16</v>
      </c>
      <c r="T55" s="279"/>
      <c r="U55" s="281">
        <v>16</v>
      </c>
      <c r="V55" s="277"/>
      <c r="W55" s="364"/>
      <c r="X55" s="289"/>
      <c r="Y55" s="289"/>
    </row>
    <row r="56" spans="1:25" ht="13.8">
      <c r="A56" s="1"/>
      <c r="B56" s="261"/>
      <c r="C56" s="341"/>
      <c r="D56" s="341"/>
      <c r="E56" s="359"/>
      <c r="F56" s="354" t="s">
        <v>91</v>
      </c>
      <c r="G56" s="380"/>
      <c r="H56" s="380"/>
      <c r="I56" s="380"/>
      <c r="J56" s="268"/>
      <c r="K56" s="354">
        <v>3</v>
      </c>
      <c r="L56" s="266"/>
      <c r="M56" s="355">
        <v>3</v>
      </c>
      <c r="N56" s="268"/>
      <c r="O56" s="354">
        <v>3</v>
      </c>
      <c r="P56" s="266"/>
      <c r="Q56" s="355">
        <v>3</v>
      </c>
      <c r="R56" s="268"/>
      <c r="S56" s="354">
        <v>3</v>
      </c>
      <c r="T56" s="266"/>
      <c r="U56" s="355">
        <v>3</v>
      </c>
      <c r="V56" s="268"/>
      <c r="W56" s="354">
        <v>18</v>
      </c>
      <c r="X56" s="268"/>
      <c r="Y56" s="101">
        <v>18</v>
      </c>
    </row>
    <row r="57" spans="1:25" ht="13.8">
      <c r="A57" s="1"/>
      <c r="B57" s="398"/>
      <c r="C57" s="257"/>
      <c r="D57" s="257"/>
      <c r="E57" s="257"/>
      <c r="F57" s="257"/>
      <c r="G57" s="257"/>
      <c r="H57" s="257"/>
      <c r="I57" s="257"/>
      <c r="J57" s="270"/>
      <c r="K57" s="321">
        <v>32</v>
      </c>
      <c r="L57" s="316"/>
      <c r="M57" s="337">
        <v>32</v>
      </c>
      <c r="N57" s="323"/>
      <c r="O57" s="373">
        <v>32</v>
      </c>
      <c r="P57" s="270"/>
      <c r="Q57" s="374">
        <v>32</v>
      </c>
      <c r="R57" s="258"/>
      <c r="S57" s="373">
        <v>32</v>
      </c>
      <c r="T57" s="270"/>
      <c r="U57" s="374">
        <v>32</v>
      </c>
      <c r="V57" s="258"/>
      <c r="W57" s="375">
        <v>192</v>
      </c>
      <c r="X57" s="270"/>
      <c r="Y57" s="102">
        <v>192</v>
      </c>
    </row>
    <row r="58" spans="1:25" ht="13.8" thickBot="1">
      <c r="A58" s="1"/>
      <c r="B58" s="399"/>
      <c r="C58" s="380"/>
      <c r="D58" s="380"/>
      <c r="E58" s="380"/>
      <c r="F58" s="380"/>
      <c r="G58" s="380"/>
      <c r="H58" s="380"/>
      <c r="I58" s="380"/>
      <c r="J58" s="266"/>
      <c r="K58" s="400">
        <v>64</v>
      </c>
      <c r="L58" s="341"/>
      <c r="M58" s="341"/>
      <c r="N58" s="359"/>
      <c r="O58" s="401">
        <v>64</v>
      </c>
      <c r="P58" s="380"/>
      <c r="Q58" s="380"/>
      <c r="R58" s="268"/>
      <c r="S58" s="401">
        <v>64</v>
      </c>
      <c r="T58" s="380"/>
      <c r="U58" s="380"/>
      <c r="V58" s="268"/>
      <c r="W58" s="413">
        <v>192</v>
      </c>
      <c r="X58" s="266"/>
      <c r="Y58" s="73"/>
    </row>
    <row r="59" spans="1:25" ht="13.2">
      <c r="A59" s="1"/>
      <c r="B59" s="520" t="s">
        <v>121</v>
      </c>
      <c r="C59" s="520"/>
      <c r="D59" s="520"/>
      <c r="E59" s="52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2">
      <c r="A60" s="1"/>
      <c r="B60" s="1"/>
      <c r="C60" s="1"/>
      <c r="D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>
      <c r="A62" s="1"/>
      <c r="B62" s="1"/>
      <c r="C62" s="1"/>
      <c r="D62" s="5"/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435">
    <mergeCell ref="S58:V58"/>
    <mergeCell ref="W58:X58"/>
    <mergeCell ref="B59:E59"/>
    <mergeCell ref="AA2:AA5"/>
    <mergeCell ref="B7:C8"/>
    <mergeCell ref="E7:G7"/>
    <mergeCell ref="H7:H8"/>
    <mergeCell ref="I7:I8"/>
    <mergeCell ref="J7:J8"/>
    <mergeCell ref="F8:G8"/>
    <mergeCell ref="B9:C33"/>
    <mergeCell ref="B34:G34"/>
    <mergeCell ref="F38:G38"/>
    <mergeCell ref="D31:D33"/>
    <mergeCell ref="F31:G31"/>
    <mergeCell ref="B35:C43"/>
    <mergeCell ref="D35:E35"/>
    <mergeCell ref="F35:G35"/>
    <mergeCell ref="F36:G36"/>
    <mergeCell ref="F37:G37"/>
    <mergeCell ref="F42:G42"/>
    <mergeCell ref="F43:G43"/>
    <mergeCell ref="F49:G49"/>
    <mergeCell ref="F53:J53"/>
    <mergeCell ref="F56:J56"/>
    <mergeCell ref="B57:J57"/>
    <mergeCell ref="B58:J58"/>
    <mergeCell ref="K58:N58"/>
    <mergeCell ref="O58:R58"/>
    <mergeCell ref="D29:D30"/>
    <mergeCell ref="F29:G29"/>
    <mergeCell ref="F39:G39"/>
    <mergeCell ref="F40:G40"/>
    <mergeCell ref="F41:G41"/>
    <mergeCell ref="F44:G44"/>
    <mergeCell ref="J44:J46"/>
    <mergeCell ref="F45:G45"/>
    <mergeCell ref="F46:G46"/>
    <mergeCell ref="J47:J49"/>
    <mergeCell ref="U40:V40"/>
    <mergeCell ref="Q41:R41"/>
    <mergeCell ref="S41:T41"/>
    <mergeCell ref="U41:V41"/>
    <mergeCell ref="W41:X41"/>
    <mergeCell ref="Q42:R42"/>
    <mergeCell ref="S42:T42"/>
    <mergeCell ref="B44:B49"/>
    <mergeCell ref="C44:C46"/>
    <mergeCell ref="C47:C49"/>
    <mergeCell ref="D7:D8"/>
    <mergeCell ref="D9:D11"/>
    <mergeCell ref="Q28:R28"/>
    <mergeCell ref="S28:T28"/>
    <mergeCell ref="D22:D24"/>
    <mergeCell ref="F22:G22"/>
    <mergeCell ref="F23:G23"/>
    <mergeCell ref="F24:G24"/>
    <mergeCell ref="Y25:Y28"/>
    <mergeCell ref="M28:N28"/>
    <mergeCell ref="O28:P28"/>
    <mergeCell ref="U28:V28"/>
    <mergeCell ref="X2:Y2"/>
    <mergeCell ref="P3:Y3"/>
    <mergeCell ref="P4:S4"/>
    <mergeCell ref="T4:V4"/>
    <mergeCell ref="W4:Y4"/>
    <mergeCell ref="V6:Y6"/>
    <mergeCell ref="B2:U2"/>
    <mergeCell ref="V2:W2"/>
    <mergeCell ref="B3:B4"/>
    <mergeCell ref="C3:E4"/>
    <mergeCell ref="F3:G4"/>
    <mergeCell ref="H3:J4"/>
    <mergeCell ref="K3:O4"/>
    <mergeCell ref="C5:E5"/>
    <mergeCell ref="F5:G5"/>
    <mergeCell ref="H5:J5"/>
    <mergeCell ref="K5:O5"/>
    <mergeCell ref="P5:S5"/>
    <mergeCell ref="T5:V5"/>
    <mergeCell ref="W5:Y5"/>
    <mergeCell ref="U25:V25"/>
    <mergeCell ref="X25:X28"/>
    <mergeCell ref="U26:V26"/>
    <mergeCell ref="U27:V27"/>
    <mergeCell ref="K25:L25"/>
    <mergeCell ref="K26:L26"/>
    <mergeCell ref="M26:N26"/>
    <mergeCell ref="O26:P26"/>
    <mergeCell ref="Q26:R26"/>
    <mergeCell ref="S26:T26"/>
    <mergeCell ref="K27:L27"/>
    <mergeCell ref="M27:N27"/>
    <mergeCell ref="O27:P27"/>
    <mergeCell ref="Q27:R27"/>
    <mergeCell ref="S27:T27"/>
    <mergeCell ref="M22:N22"/>
    <mergeCell ref="O22:P22"/>
    <mergeCell ref="K23:L23"/>
    <mergeCell ref="M23:N23"/>
    <mergeCell ref="O23:P23"/>
    <mergeCell ref="K24:L24"/>
    <mergeCell ref="M24:N24"/>
    <mergeCell ref="O24:P24"/>
    <mergeCell ref="Q22:R22"/>
    <mergeCell ref="Q23:R23"/>
    <mergeCell ref="Q24:R24"/>
    <mergeCell ref="K22:L22"/>
    <mergeCell ref="O57:P57"/>
    <mergeCell ref="Q57:R57"/>
    <mergeCell ref="S57:T57"/>
    <mergeCell ref="U57:V57"/>
    <mergeCell ref="W57:X57"/>
    <mergeCell ref="O19:P19"/>
    <mergeCell ref="Q19:R19"/>
    <mergeCell ref="S19:T19"/>
    <mergeCell ref="U19:V19"/>
    <mergeCell ref="O20:P20"/>
    <mergeCell ref="Q20:R20"/>
    <mergeCell ref="S20:T20"/>
    <mergeCell ref="X18:X19"/>
    <mergeCell ref="X20:X21"/>
    <mergeCell ref="O21:P21"/>
    <mergeCell ref="S22:T22"/>
    <mergeCell ref="S23:T23"/>
    <mergeCell ref="U23:V23"/>
    <mergeCell ref="S24:T24"/>
    <mergeCell ref="U24:V24"/>
    <mergeCell ref="X22:X24"/>
    <mergeCell ref="Q21:R21"/>
    <mergeCell ref="S21:T21"/>
    <mergeCell ref="U21:V21"/>
    <mergeCell ref="F47:G47"/>
    <mergeCell ref="F48:G48"/>
    <mergeCell ref="B50:G51"/>
    <mergeCell ref="H50:H51"/>
    <mergeCell ref="I50:I51"/>
    <mergeCell ref="J50:J51"/>
    <mergeCell ref="B52:G52"/>
    <mergeCell ref="K57:L57"/>
    <mergeCell ref="M57:N57"/>
    <mergeCell ref="B53:E56"/>
    <mergeCell ref="W53:X55"/>
    <mergeCell ref="Y53:Y55"/>
    <mergeCell ref="W56:X56"/>
    <mergeCell ref="K54:L54"/>
    <mergeCell ref="M54:N54"/>
    <mergeCell ref="O54:P54"/>
    <mergeCell ref="Q54:R54"/>
    <mergeCell ref="S54:T54"/>
    <mergeCell ref="U54:V54"/>
    <mergeCell ref="K53:L53"/>
    <mergeCell ref="M53:N53"/>
    <mergeCell ref="O53:P53"/>
    <mergeCell ref="Q53:R53"/>
    <mergeCell ref="S53:T53"/>
    <mergeCell ref="U53:V53"/>
    <mergeCell ref="M50:N51"/>
    <mergeCell ref="O50:P51"/>
    <mergeCell ref="Q50:R51"/>
    <mergeCell ref="S50:T51"/>
    <mergeCell ref="U50:V51"/>
    <mergeCell ref="W50:X51"/>
    <mergeCell ref="Y50:Y51"/>
    <mergeCell ref="K50:L51"/>
    <mergeCell ref="M52:N52"/>
    <mergeCell ref="O52:P52"/>
    <mergeCell ref="Q52:R52"/>
    <mergeCell ref="S52:T52"/>
    <mergeCell ref="U52:V52"/>
    <mergeCell ref="W52:X52"/>
    <mergeCell ref="K52:L52"/>
    <mergeCell ref="F54:J54"/>
    <mergeCell ref="F55:J55"/>
    <mergeCell ref="M55:N55"/>
    <mergeCell ref="O55:P55"/>
    <mergeCell ref="Q55:R55"/>
    <mergeCell ref="S55:T55"/>
    <mergeCell ref="U55:V55"/>
    <mergeCell ref="K55:L55"/>
    <mergeCell ref="K56:L56"/>
    <mergeCell ref="M56:N56"/>
    <mergeCell ref="O56:P56"/>
    <mergeCell ref="Q56:R56"/>
    <mergeCell ref="S56:T56"/>
    <mergeCell ref="U56:V56"/>
    <mergeCell ref="K44:L44"/>
    <mergeCell ref="S44:T44"/>
    <mergeCell ref="U44:V44"/>
    <mergeCell ref="S45:T45"/>
    <mergeCell ref="U45:V45"/>
    <mergeCell ref="K48:L48"/>
    <mergeCell ref="K49:L49"/>
    <mergeCell ref="M44:N44"/>
    <mergeCell ref="O44:P44"/>
    <mergeCell ref="K45:L45"/>
    <mergeCell ref="M45:N45"/>
    <mergeCell ref="O45:P45"/>
    <mergeCell ref="K46:L46"/>
    <mergeCell ref="K47:L47"/>
    <mergeCell ref="K39:L39"/>
    <mergeCell ref="M39:N39"/>
    <mergeCell ref="O39:P39"/>
    <mergeCell ref="S39:T39"/>
    <mergeCell ref="K40:L40"/>
    <mergeCell ref="W40:X40"/>
    <mergeCell ref="U43:V43"/>
    <mergeCell ref="W43:X43"/>
    <mergeCell ref="Q43:R43"/>
    <mergeCell ref="U42:V42"/>
    <mergeCell ref="W42:X42"/>
    <mergeCell ref="K43:L43"/>
    <mergeCell ref="M43:N43"/>
    <mergeCell ref="O43:P43"/>
    <mergeCell ref="S43:T43"/>
    <mergeCell ref="U39:V39"/>
    <mergeCell ref="W39:X39"/>
    <mergeCell ref="M40:N40"/>
    <mergeCell ref="O40:P40"/>
    <mergeCell ref="K41:L41"/>
    <mergeCell ref="M41:N41"/>
    <mergeCell ref="O41:P41"/>
    <mergeCell ref="K42:L42"/>
    <mergeCell ref="M42:N42"/>
    <mergeCell ref="M49:N49"/>
    <mergeCell ref="O49:P49"/>
    <mergeCell ref="Q49:R49"/>
    <mergeCell ref="S49:T49"/>
    <mergeCell ref="U49:V49"/>
    <mergeCell ref="M33:N33"/>
    <mergeCell ref="M34:N34"/>
    <mergeCell ref="Y35:Y49"/>
    <mergeCell ref="M36:N36"/>
    <mergeCell ref="O36:P36"/>
    <mergeCell ref="S36:T36"/>
    <mergeCell ref="W44:X49"/>
    <mergeCell ref="U38:V38"/>
    <mergeCell ref="W38:X38"/>
    <mergeCell ref="Q44:R44"/>
    <mergeCell ref="Q33:R33"/>
    <mergeCell ref="S33:T33"/>
    <mergeCell ref="Q34:R34"/>
    <mergeCell ref="S34:T34"/>
    <mergeCell ref="U34:V34"/>
    <mergeCell ref="W34:X34"/>
    <mergeCell ref="M35:N35"/>
    <mergeCell ref="O35:P35"/>
    <mergeCell ref="Q35:R35"/>
    <mergeCell ref="U46:V46"/>
    <mergeCell ref="M47:N47"/>
    <mergeCell ref="O47:P47"/>
    <mergeCell ref="Q47:R47"/>
    <mergeCell ref="S47:T47"/>
    <mergeCell ref="U47:V47"/>
    <mergeCell ref="M48:N48"/>
    <mergeCell ref="O48:P48"/>
    <mergeCell ref="Q48:R48"/>
    <mergeCell ref="S48:T48"/>
    <mergeCell ref="U48:V48"/>
    <mergeCell ref="O38:P38"/>
    <mergeCell ref="Q38:R38"/>
    <mergeCell ref="S38:T38"/>
    <mergeCell ref="Q36:R36"/>
    <mergeCell ref="Q45:R45"/>
    <mergeCell ref="M46:N46"/>
    <mergeCell ref="O46:P46"/>
    <mergeCell ref="Q46:R46"/>
    <mergeCell ref="S46:T46"/>
    <mergeCell ref="O42:P42"/>
    <mergeCell ref="Q39:R39"/>
    <mergeCell ref="Q40:R40"/>
    <mergeCell ref="S40:T40"/>
    <mergeCell ref="O32:P32"/>
    <mergeCell ref="O33:P33"/>
    <mergeCell ref="O34:P34"/>
    <mergeCell ref="U36:V36"/>
    <mergeCell ref="W36:X36"/>
    <mergeCell ref="M37:N37"/>
    <mergeCell ref="O37:P37"/>
    <mergeCell ref="Q37:R37"/>
    <mergeCell ref="S37:T37"/>
    <mergeCell ref="U37:V37"/>
    <mergeCell ref="W37:X37"/>
    <mergeCell ref="S35:T35"/>
    <mergeCell ref="U35:V35"/>
    <mergeCell ref="W35:X35"/>
    <mergeCell ref="F32:G32"/>
    <mergeCell ref="K32:L32"/>
    <mergeCell ref="F33:G33"/>
    <mergeCell ref="K33:L33"/>
    <mergeCell ref="K35:L35"/>
    <mergeCell ref="K36:L36"/>
    <mergeCell ref="K37:L37"/>
    <mergeCell ref="K38:L38"/>
    <mergeCell ref="M30:N30"/>
    <mergeCell ref="M31:N31"/>
    <mergeCell ref="M32:N32"/>
    <mergeCell ref="M38:N38"/>
    <mergeCell ref="K34:L34"/>
    <mergeCell ref="U31:V31"/>
    <mergeCell ref="Q32:R32"/>
    <mergeCell ref="S32:T32"/>
    <mergeCell ref="Y31:Y33"/>
    <mergeCell ref="U29:V29"/>
    <mergeCell ref="X29:X30"/>
    <mergeCell ref="Y29:Y30"/>
    <mergeCell ref="U30:V30"/>
    <mergeCell ref="X31:X33"/>
    <mergeCell ref="U32:V32"/>
    <mergeCell ref="U33:V33"/>
    <mergeCell ref="M29:N29"/>
    <mergeCell ref="O29:P29"/>
    <mergeCell ref="Q29:R29"/>
    <mergeCell ref="S29:T29"/>
    <mergeCell ref="F30:G30"/>
    <mergeCell ref="Q30:R30"/>
    <mergeCell ref="S30:T30"/>
    <mergeCell ref="Q31:R31"/>
    <mergeCell ref="S31:T31"/>
    <mergeCell ref="K29:L29"/>
    <mergeCell ref="K30:L30"/>
    <mergeCell ref="K31:L31"/>
    <mergeCell ref="O30:P30"/>
    <mergeCell ref="O31:P31"/>
    <mergeCell ref="D25:D28"/>
    <mergeCell ref="F25:G25"/>
    <mergeCell ref="M25:N25"/>
    <mergeCell ref="O25:P25"/>
    <mergeCell ref="Q25:R25"/>
    <mergeCell ref="S25:T25"/>
    <mergeCell ref="F26:G26"/>
    <mergeCell ref="F28:G28"/>
    <mergeCell ref="K28:L28"/>
    <mergeCell ref="F27:G27"/>
    <mergeCell ref="F21:G21"/>
    <mergeCell ref="K21:L21"/>
    <mergeCell ref="D18:D21"/>
    <mergeCell ref="F18:G18"/>
    <mergeCell ref="S18:T18"/>
    <mergeCell ref="U18:V18"/>
    <mergeCell ref="Y18:Y19"/>
    <mergeCell ref="F19:G19"/>
    <mergeCell ref="U20:V20"/>
    <mergeCell ref="F20:G20"/>
    <mergeCell ref="K20:L20"/>
    <mergeCell ref="M20:N20"/>
    <mergeCell ref="M21:N21"/>
    <mergeCell ref="Y20:Y24"/>
    <mergeCell ref="K19:L19"/>
    <mergeCell ref="M19:N19"/>
    <mergeCell ref="U22:V22"/>
    <mergeCell ref="K17:L17"/>
    <mergeCell ref="K18:L18"/>
    <mergeCell ref="M18:N18"/>
    <mergeCell ref="O18:P18"/>
    <mergeCell ref="Q18:R18"/>
    <mergeCell ref="D15:D17"/>
    <mergeCell ref="F15:G15"/>
    <mergeCell ref="F16:G16"/>
    <mergeCell ref="F17:G17"/>
    <mergeCell ref="M17:N17"/>
    <mergeCell ref="O17:P17"/>
    <mergeCell ref="Q17:R17"/>
    <mergeCell ref="D12:D14"/>
    <mergeCell ref="F12:G12"/>
    <mergeCell ref="M12:N12"/>
    <mergeCell ref="O12:P12"/>
    <mergeCell ref="Q12:R12"/>
    <mergeCell ref="Q13:R13"/>
    <mergeCell ref="M16:N16"/>
    <mergeCell ref="O16:P16"/>
    <mergeCell ref="K12:L12"/>
    <mergeCell ref="K13:L13"/>
    <mergeCell ref="K15:L15"/>
    <mergeCell ref="M15:N15"/>
    <mergeCell ref="O15:P15"/>
    <mergeCell ref="Q15:R15"/>
    <mergeCell ref="K16:L16"/>
    <mergeCell ref="Q16:R16"/>
    <mergeCell ref="M13:N13"/>
    <mergeCell ref="O13:P13"/>
    <mergeCell ref="F13:G13"/>
    <mergeCell ref="F14:G14"/>
    <mergeCell ref="K14:L14"/>
    <mergeCell ref="M14:N14"/>
    <mergeCell ref="O14:P14"/>
    <mergeCell ref="Q14:R14"/>
    <mergeCell ref="F11:G11"/>
    <mergeCell ref="S16:T16"/>
    <mergeCell ref="U16:V16"/>
    <mergeCell ref="S17:T17"/>
    <mergeCell ref="U17:V17"/>
    <mergeCell ref="S9:T9"/>
    <mergeCell ref="U9:V9"/>
    <mergeCell ref="Y9:Y17"/>
    <mergeCell ref="U10:V10"/>
    <mergeCell ref="U11:V11"/>
    <mergeCell ref="U12:V12"/>
    <mergeCell ref="X15:X17"/>
    <mergeCell ref="S11:T11"/>
    <mergeCell ref="S12:T12"/>
    <mergeCell ref="X9:X11"/>
    <mergeCell ref="X12:X14"/>
    <mergeCell ref="S13:T13"/>
    <mergeCell ref="U13:V13"/>
    <mergeCell ref="S14:T14"/>
    <mergeCell ref="U14:V14"/>
    <mergeCell ref="S15:T15"/>
    <mergeCell ref="U15:V15"/>
    <mergeCell ref="S10:T10"/>
    <mergeCell ref="K9:L9"/>
    <mergeCell ref="M9:N9"/>
    <mergeCell ref="O9:P9"/>
    <mergeCell ref="Q9:R9"/>
    <mergeCell ref="M11:N11"/>
    <mergeCell ref="O11:P11"/>
    <mergeCell ref="F9:G9"/>
    <mergeCell ref="F10:G10"/>
    <mergeCell ref="K10:L10"/>
    <mergeCell ref="M10:N10"/>
    <mergeCell ref="O10:P10"/>
    <mergeCell ref="Q10:R10"/>
    <mergeCell ref="K11:L11"/>
    <mergeCell ref="Q11:R11"/>
    <mergeCell ref="O7:R7"/>
    <mergeCell ref="S7:V7"/>
    <mergeCell ref="W7:X8"/>
    <mergeCell ref="Y7:Y8"/>
    <mergeCell ref="O8:P8"/>
    <mergeCell ref="Q8:R8"/>
    <mergeCell ref="S8:T8"/>
    <mergeCell ref="U8:V8"/>
    <mergeCell ref="K7:N7"/>
    <mergeCell ref="K8:L8"/>
    <mergeCell ref="M8:N8"/>
  </mergeCells>
  <phoneticPr fontId="36" type="noConversion"/>
  <printOptions horizontalCentered="1" gridLines="1"/>
  <pageMargins left="0.25" right="0.25" top="0.75" bottom="0.75" header="0" footer="0"/>
  <pageSetup paperSize="12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D1000"/>
  <sheetViews>
    <sheetView workbookViewId="0">
      <selection activeCell="AA12" sqref="AA12"/>
    </sheetView>
  </sheetViews>
  <sheetFormatPr defaultColWidth="12.6640625" defaultRowHeight="15.75" customHeight="1"/>
  <cols>
    <col min="1" max="1" width="4.44140625" customWidth="1"/>
    <col min="2" max="2" width="7.109375" customWidth="1"/>
    <col min="3" max="3" width="11.33203125" customWidth="1"/>
    <col min="5" max="5" width="11.21875" customWidth="1"/>
    <col min="6" max="7" width="12.77734375" customWidth="1"/>
    <col min="8" max="10" width="5.21875" customWidth="1"/>
    <col min="11" max="20" width="2.77734375" customWidth="1"/>
    <col min="21" max="22" width="2.88671875" customWidth="1"/>
    <col min="23" max="24" width="4.21875" customWidth="1"/>
    <col min="25" max="25" width="7.77734375" customWidth="1"/>
    <col min="26" max="26" width="7.88671875" customWidth="1"/>
  </cols>
  <sheetData>
    <row r="1" spans="1:30" ht="13.8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0" ht="36" customHeight="1" thickBot="1">
      <c r="A2" s="1"/>
      <c r="B2" s="382" t="s">
        <v>0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83" t="s">
        <v>1</v>
      </c>
      <c r="W2" s="372"/>
      <c r="X2" s="377">
        <v>2027</v>
      </c>
      <c r="Y2" s="323"/>
      <c r="Z2" s="1"/>
      <c r="AA2" s="521" t="s">
        <v>356</v>
      </c>
      <c r="AB2" s="522" t="s">
        <v>357</v>
      </c>
      <c r="AC2" s="523" t="s">
        <v>358</v>
      </c>
      <c r="AD2" s="524" t="s">
        <v>359</v>
      </c>
    </row>
    <row r="3" spans="1:30" ht="24.6" customHeight="1">
      <c r="A3" s="1"/>
      <c r="B3" s="384" t="s">
        <v>2</v>
      </c>
      <c r="C3" s="386" t="s">
        <v>3</v>
      </c>
      <c r="D3" s="368"/>
      <c r="E3" s="368"/>
      <c r="F3" s="386" t="s">
        <v>4</v>
      </c>
      <c r="G3" s="358"/>
      <c r="H3" s="386" t="s">
        <v>5</v>
      </c>
      <c r="I3" s="368"/>
      <c r="J3" s="368"/>
      <c r="K3" s="386" t="s">
        <v>6</v>
      </c>
      <c r="L3" s="368"/>
      <c r="M3" s="368"/>
      <c r="N3" s="368"/>
      <c r="O3" s="358"/>
      <c r="P3" s="378" t="s">
        <v>7</v>
      </c>
      <c r="Q3" s="257"/>
      <c r="R3" s="257"/>
      <c r="S3" s="257"/>
      <c r="T3" s="257"/>
      <c r="U3" s="257"/>
      <c r="V3" s="257"/>
      <c r="W3" s="257"/>
      <c r="X3" s="257"/>
      <c r="Y3" s="258"/>
      <c r="Z3" s="1"/>
      <c r="AA3" s="525"/>
      <c r="AB3" s="526" t="s">
        <v>360</v>
      </c>
      <c r="AC3" s="532" t="s">
        <v>363</v>
      </c>
      <c r="AD3" s="527">
        <v>1001</v>
      </c>
    </row>
    <row r="4" spans="1:30" ht="24.6" customHeight="1" thickBot="1">
      <c r="A4" s="1"/>
      <c r="B4" s="385"/>
      <c r="C4" s="309"/>
      <c r="D4" s="341"/>
      <c r="E4" s="341"/>
      <c r="F4" s="309"/>
      <c r="G4" s="359"/>
      <c r="H4" s="309"/>
      <c r="I4" s="341"/>
      <c r="J4" s="341"/>
      <c r="K4" s="309"/>
      <c r="L4" s="341"/>
      <c r="M4" s="341"/>
      <c r="N4" s="341"/>
      <c r="O4" s="359"/>
      <c r="P4" s="379" t="s">
        <v>8</v>
      </c>
      <c r="Q4" s="380"/>
      <c r="R4" s="380"/>
      <c r="S4" s="380"/>
      <c r="T4" s="381" t="s">
        <v>9</v>
      </c>
      <c r="U4" s="380"/>
      <c r="V4" s="266"/>
      <c r="W4" s="379" t="s">
        <v>10</v>
      </c>
      <c r="X4" s="380"/>
      <c r="Y4" s="268"/>
      <c r="Z4" s="1"/>
      <c r="AA4" s="525"/>
      <c r="AB4" s="528" t="s">
        <v>361</v>
      </c>
      <c r="AC4" s="533" t="s">
        <v>364</v>
      </c>
      <c r="AD4" s="527">
        <v>1074</v>
      </c>
    </row>
    <row r="5" spans="1:30" ht="31.2" customHeight="1" thickBot="1">
      <c r="A5" s="1"/>
      <c r="B5" s="16" t="s">
        <v>11</v>
      </c>
      <c r="C5" s="459" t="s">
        <v>12</v>
      </c>
      <c r="D5" s="341"/>
      <c r="E5" s="359"/>
      <c r="F5" s="459" t="s">
        <v>13</v>
      </c>
      <c r="G5" s="359"/>
      <c r="H5" s="459" t="s">
        <v>14</v>
      </c>
      <c r="I5" s="341"/>
      <c r="J5" s="359"/>
      <c r="K5" s="459" t="s">
        <v>14</v>
      </c>
      <c r="L5" s="341"/>
      <c r="M5" s="341"/>
      <c r="N5" s="341"/>
      <c r="O5" s="359"/>
      <c r="P5" s="459" t="s">
        <v>14</v>
      </c>
      <c r="Q5" s="341"/>
      <c r="R5" s="341"/>
      <c r="S5" s="359"/>
      <c r="T5" s="459" t="s">
        <v>15</v>
      </c>
      <c r="U5" s="341"/>
      <c r="V5" s="359"/>
      <c r="W5" s="459" t="s">
        <v>16</v>
      </c>
      <c r="X5" s="341"/>
      <c r="Y5" s="262"/>
      <c r="Z5" s="1"/>
      <c r="AA5" s="529"/>
      <c r="AB5" s="530" t="s">
        <v>362</v>
      </c>
      <c r="AC5" s="534" t="s">
        <v>364</v>
      </c>
      <c r="AD5" s="531"/>
    </row>
    <row r="6" spans="1:30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06"/>
      <c r="W6" s="307"/>
      <c r="X6" s="307"/>
      <c r="Y6" s="307"/>
      <c r="Z6" s="1"/>
    </row>
    <row r="7" spans="1:30" ht="19.5" customHeight="1">
      <c r="A7" s="1"/>
      <c r="B7" s="415" t="s">
        <v>17</v>
      </c>
      <c r="C7" s="260"/>
      <c r="D7" s="416" t="s">
        <v>18</v>
      </c>
      <c r="E7" s="414" t="s">
        <v>19</v>
      </c>
      <c r="F7" s="257"/>
      <c r="G7" s="258"/>
      <c r="H7" s="453" t="s">
        <v>20</v>
      </c>
      <c r="I7" s="454" t="s">
        <v>21</v>
      </c>
      <c r="J7" s="455" t="s">
        <v>22</v>
      </c>
      <c r="K7" s="414" t="s">
        <v>23</v>
      </c>
      <c r="L7" s="257"/>
      <c r="M7" s="257"/>
      <c r="N7" s="258"/>
      <c r="O7" s="414" t="s">
        <v>24</v>
      </c>
      <c r="P7" s="257"/>
      <c r="Q7" s="257"/>
      <c r="R7" s="258"/>
      <c r="S7" s="414" t="s">
        <v>25</v>
      </c>
      <c r="T7" s="257"/>
      <c r="U7" s="257"/>
      <c r="V7" s="258"/>
      <c r="W7" s="415" t="s">
        <v>26</v>
      </c>
      <c r="X7" s="260"/>
      <c r="Y7" s="416" t="s">
        <v>27</v>
      </c>
      <c r="Z7" s="1"/>
    </row>
    <row r="8" spans="1:30" ht="19.5" customHeight="1">
      <c r="A8" s="1"/>
      <c r="B8" s="261"/>
      <c r="C8" s="262"/>
      <c r="D8" s="264"/>
      <c r="E8" s="20" t="s">
        <v>28</v>
      </c>
      <c r="F8" s="418" t="s">
        <v>29</v>
      </c>
      <c r="G8" s="268"/>
      <c r="H8" s="385"/>
      <c r="I8" s="370"/>
      <c r="J8" s="309"/>
      <c r="K8" s="417" t="s">
        <v>30</v>
      </c>
      <c r="L8" s="266"/>
      <c r="M8" s="418" t="s">
        <v>31</v>
      </c>
      <c r="N8" s="268"/>
      <c r="O8" s="417" t="s">
        <v>30</v>
      </c>
      <c r="P8" s="266"/>
      <c r="Q8" s="418" t="s">
        <v>31</v>
      </c>
      <c r="R8" s="268"/>
      <c r="S8" s="417" t="s">
        <v>30</v>
      </c>
      <c r="T8" s="266"/>
      <c r="U8" s="418" t="s">
        <v>31</v>
      </c>
      <c r="V8" s="268"/>
      <c r="W8" s="261"/>
      <c r="X8" s="262"/>
      <c r="Y8" s="264"/>
      <c r="Z8" s="1"/>
    </row>
    <row r="9" spans="1:30" ht="13.2">
      <c r="A9" s="1"/>
      <c r="B9" s="431" t="s">
        <v>32</v>
      </c>
      <c r="C9" s="260"/>
      <c r="D9" s="427" t="s">
        <v>33</v>
      </c>
      <c r="E9" s="21" t="s">
        <v>34</v>
      </c>
      <c r="F9" s="275" t="s">
        <v>35</v>
      </c>
      <c r="G9" s="258"/>
      <c r="H9" s="22">
        <v>4</v>
      </c>
      <c r="I9" s="23" t="s">
        <v>36</v>
      </c>
      <c r="J9" s="24">
        <v>3</v>
      </c>
      <c r="K9" s="301">
        <v>3</v>
      </c>
      <c r="L9" s="287"/>
      <c r="M9" s="288"/>
      <c r="N9" s="289"/>
      <c r="O9" s="269"/>
      <c r="P9" s="270"/>
      <c r="Q9" s="271"/>
      <c r="R9" s="258"/>
      <c r="S9" s="420"/>
      <c r="T9" s="270"/>
      <c r="U9" s="271"/>
      <c r="V9" s="270"/>
      <c r="W9" s="22">
        <f t="shared" ref="W9:W28" si="0">SUM(K9:V9)</f>
        <v>3</v>
      </c>
      <c r="X9" s="421">
        <v>10</v>
      </c>
      <c r="Y9" s="424">
        <v>24</v>
      </c>
      <c r="Z9" s="1"/>
    </row>
    <row r="10" spans="1:30" ht="13.2">
      <c r="A10" s="1"/>
      <c r="B10" s="363"/>
      <c r="C10" s="295"/>
      <c r="D10" s="300"/>
      <c r="E10" s="29" t="s">
        <v>34</v>
      </c>
      <c r="F10" s="276" t="s">
        <v>37</v>
      </c>
      <c r="G10" s="277"/>
      <c r="H10" s="30">
        <v>4</v>
      </c>
      <c r="I10" s="31" t="s">
        <v>36</v>
      </c>
      <c r="J10" s="32">
        <v>3</v>
      </c>
      <c r="K10" s="278"/>
      <c r="L10" s="279"/>
      <c r="M10" s="281">
        <v>3</v>
      </c>
      <c r="N10" s="277"/>
      <c r="O10" s="278"/>
      <c r="P10" s="279"/>
      <c r="Q10" s="280"/>
      <c r="R10" s="277"/>
      <c r="S10" s="422"/>
      <c r="T10" s="279"/>
      <c r="U10" s="280"/>
      <c r="V10" s="279"/>
      <c r="W10" s="33">
        <f t="shared" si="0"/>
        <v>3</v>
      </c>
      <c r="X10" s="284"/>
      <c r="Y10" s="300"/>
      <c r="Z10" s="1"/>
    </row>
    <row r="11" spans="1:30" ht="13.8">
      <c r="A11" s="1"/>
      <c r="B11" s="363"/>
      <c r="C11" s="295"/>
      <c r="D11" s="264"/>
      <c r="E11" s="34" t="s">
        <v>38</v>
      </c>
      <c r="F11" s="298" t="s">
        <v>39</v>
      </c>
      <c r="G11" s="268"/>
      <c r="H11" s="35">
        <v>4</v>
      </c>
      <c r="I11" s="36" t="s">
        <v>40</v>
      </c>
      <c r="J11" s="37">
        <v>4</v>
      </c>
      <c r="K11" s="274"/>
      <c r="L11" s="266"/>
      <c r="M11" s="273"/>
      <c r="N11" s="268"/>
      <c r="O11" s="274"/>
      <c r="P11" s="266"/>
      <c r="Q11" s="297">
        <v>4</v>
      </c>
      <c r="R11" s="268"/>
      <c r="S11" s="419"/>
      <c r="T11" s="266"/>
      <c r="U11" s="273"/>
      <c r="V11" s="266"/>
      <c r="W11" s="38">
        <f t="shared" si="0"/>
        <v>4</v>
      </c>
      <c r="X11" s="285"/>
      <c r="Y11" s="300"/>
      <c r="Z11" s="1"/>
    </row>
    <row r="12" spans="1:30" ht="13.2">
      <c r="A12" s="1"/>
      <c r="B12" s="363"/>
      <c r="C12" s="295"/>
      <c r="D12" s="427" t="s">
        <v>41</v>
      </c>
      <c r="E12" s="39" t="s">
        <v>34</v>
      </c>
      <c r="F12" s="428" t="s">
        <v>42</v>
      </c>
      <c r="G12" s="270"/>
      <c r="H12" s="22">
        <v>4</v>
      </c>
      <c r="I12" s="23" t="s">
        <v>36</v>
      </c>
      <c r="J12" s="24">
        <v>3</v>
      </c>
      <c r="K12" s="272">
        <v>3</v>
      </c>
      <c r="L12" s="270"/>
      <c r="M12" s="271"/>
      <c r="N12" s="258"/>
      <c r="O12" s="269"/>
      <c r="P12" s="270"/>
      <c r="Q12" s="271"/>
      <c r="R12" s="258"/>
      <c r="S12" s="420"/>
      <c r="T12" s="270"/>
      <c r="U12" s="271"/>
      <c r="V12" s="270"/>
      <c r="W12" s="22">
        <f t="shared" si="0"/>
        <v>3</v>
      </c>
      <c r="X12" s="421">
        <v>10</v>
      </c>
      <c r="Y12" s="300"/>
      <c r="Z12" s="1"/>
    </row>
    <row r="13" spans="1:30" ht="13.2">
      <c r="A13" s="1"/>
      <c r="B13" s="363"/>
      <c r="C13" s="295"/>
      <c r="D13" s="300"/>
      <c r="E13" s="40" t="s">
        <v>34</v>
      </c>
      <c r="F13" s="425" t="s">
        <v>43</v>
      </c>
      <c r="G13" s="279"/>
      <c r="H13" s="30">
        <v>4</v>
      </c>
      <c r="I13" s="31" t="s">
        <v>36</v>
      </c>
      <c r="J13" s="32">
        <v>3</v>
      </c>
      <c r="K13" s="278"/>
      <c r="L13" s="279"/>
      <c r="M13" s="281">
        <v>3</v>
      </c>
      <c r="N13" s="277"/>
      <c r="O13" s="278"/>
      <c r="P13" s="279"/>
      <c r="Q13" s="280"/>
      <c r="R13" s="277"/>
      <c r="S13" s="422"/>
      <c r="T13" s="279"/>
      <c r="U13" s="280"/>
      <c r="V13" s="279"/>
      <c r="W13" s="33">
        <f t="shared" si="0"/>
        <v>3</v>
      </c>
      <c r="X13" s="284"/>
      <c r="Y13" s="300"/>
      <c r="Z13" s="1"/>
    </row>
    <row r="14" spans="1:30" ht="13.8">
      <c r="A14" s="1"/>
      <c r="B14" s="363"/>
      <c r="C14" s="295"/>
      <c r="D14" s="264"/>
      <c r="E14" s="25" t="s">
        <v>38</v>
      </c>
      <c r="F14" s="426" t="s">
        <v>44</v>
      </c>
      <c r="G14" s="266"/>
      <c r="H14" s="35">
        <v>4</v>
      </c>
      <c r="I14" s="36" t="s">
        <v>40</v>
      </c>
      <c r="J14" s="37">
        <v>4</v>
      </c>
      <c r="K14" s="274"/>
      <c r="L14" s="266"/>
      <c r="M14" s="273"/>
      <c r="N14" s="268"/>
      <c r="O14" s="282">
        <v>4</v>
      </c>
      <c r="P14" s="266"/>
      <c r="Q14" s="273"/>
      <c r="R14" s="268"/>
      <c r="S14" s="419"/>
      <c r="T14" s="266"/>
      <c r="U14" s="273"/>
      <c r="V14" s="266"/>
      <c r="W14" s="38">
        <f t="shared" si="0"/>
        <v>4</v>
      </c>
      <c r="X14" s="285"/>
      <c r="Y14" s="300"/>
      <c r="Z14" s="1"/>
    </row>
    <row r="15" spans="1:30" ht="13.2">
      <c r="A15" s="1"/>
      <c r="B15" s="363"/>
      <c r="C15" s="295"/>
      <c r="D15" s="427" t="s">
        <v>45</v>
      </c>
      <c r="E15" s="39" t="s">
        <v>34</v>
      </c>
      <c r="F15" s="429" t="s">
        <v>46</v>
      </c>
      <c r="G15" s="258"/>
      <c r="H15" s="22">
        <v>4</v>
      </c>
      <c r="I15" s="23" t="s">
        <v>36</v>
      </c>
      <c r="J15" s="24">
        <v>3</v>
      </c>
      <c r="K15" s="269"/>
      <c r="L15" s="270"/>
      <c r="M15" s="271"/>
      <c r="N15" s="258"/>
      <c r="O15" s="272">
        <v>3</v>
      </c>
      <c r="P15" s="270"/>
      <c r="Q15" s="271"/>
      <c r="R15" s="258"/>
      <c r="S15" s="420"/>
      <c r="T15" s="270"/>
      <c r="U15" s="271"/>
      <c r="V15" s="270"/>
      <c r="W15" s="22">
        <f t="shared" si="0"/>
        <v>3</v>
      </c>
      <c r="X15" s="421">
        <v>10</v>
      </c>
      <c r="Y15" s="300"/>
      <c r="Z15" s="1"/>
    </row>
    <row r="16" spans="1:30" ht="13.2">
      <c r="A16" s="1"/>
      <c r="B16" s="363"/>
      <c r="C16" s="295"/>
      <c r="D16" s="300"/>
      <c r="E16" s="40" t="s">
        <v>34</v>
      </c>
      <c r="F16" s="430" t="s">
        <v>47</v>
      </c>
      <c r="G16" s="277"/>
      <c r="H16" s="30">
        <v>4</v>
      </c>
      <c r="I16" s="31" t="s">
        <v>36</v>
      </c>
      <c r="J16" s="32">
        <v>3</v>
      </c>
      <c r="K16" s="278"/>
      <c r="L16" s="279"/>
      <c r="M16" s="280"/>
      <c r="N16" s="277"/>
      <c r="O16" s="278"/>
      <c r="P16" s="279"/>
      <c r="Q16" s="281">
        <v>3</v>
      </c>
      <c r="R16" s="277"/>
      <c r="S16" s="422"/>
      <c r="T16" s="279"/>
      <c r="U16" s="280"/>
      <c r="V16" s="279"/>
      <c r="W16" s="33">
        <f t="shared" si="0"/>
        <v>3</v>
      </c>
      <c r="X16" s="284"/>
      <c r="Y16" s="300"/>
      <c r="Z16" s="1"/>
    </row>
    <row r="17" spans="1:26" ht="13.8">
      <c r="A17" s="1"/>
      <c r="B17" s="363"/>
      <c r="C17" s="295"/>
      <c r="D17" s="264"/>
      <c r="E17" s="25" t="s">
        <v>38</v>
      </c>
      <c r="F17" s="298" t="s">
        <v>48</v>
      </c>
      <c r="G17" s="268"/>
      <c r="H17" s="35">
        <v>4</v>
      </c>
      <c r="I17" s="36" t="s">
        <v>40</v>
      </c>
      <c r="J17" s="37">
        <v>4</v>
      </c>
      <c r="K17" s="274"/>
      <c r="L17" s="266"/>
      <c r="M17" s="273"/>
      <c r="N17" s="268"/>
      <c r="O17" s="274"/>
      <c r="P17" s="266"/>
      <c r="Q17" s="273"/>
      <c r="R17" s="268"/>
      <c r="S17" s="423">
        <v>4</v>
      </c>
      <c r="T17" s="266"/>
      <c r="U17" s="273"/>
      <c r="V17" s="266"/>
      <c r="W17" s="38">
        <f t="shared" si="0"/>
        <v>4</v>
      </c>
      <c r="X17" s="285"/>
      <c r="Y17" s="264"/>
      <c r="Z17" s="1"/>
    </row>
    <row r="18" spans="1:26" ht="13.2">
      <c r="A18" s="1"/>
      <c r="B18" s="363"/>
      <c r="C18" s="295"/>
      <c r="D18" s="427" t="s">
        <v>49</v>
      </c>
      <c r="E18" s="41" t="s">
        <v>34</v>
      </c>
      <c r="F18" s="275" t="s">
        <v>50</v>
      </c>
      <c r="G18" s="258"/>
      <c r="H18" s="22">
        <v>3</v>
      </c>
      <c r="I18" s="23" t="s">
        <v>52</v>
      </c>
      <c r="J18" s="24">
        <v>3</v>
      </c>
      <c r="K18" s="269"/>
      <c r="L18" s="270"/>
      <c r="M18" s="271"/>
      <c r="N18" s="258"/>
      <c r="O18" s="272">
        <v>3</v>
      </c>
      <c r="P18" s="270"/>
      <c r="Q18" s="271"/>
      <c r="R18" s="258"/>
      <c r="S18" s="420"/>
      <c r="T18" s="270"/>
      <c r="U18" s="271"/>
      <c r="V18" s="270"/>
      <c r="W18" s="22">
        <f t="shared" si="0"/>
        <v>3</v>
      </c>
      <c r="X18" s="421">
        <v>6</v>
      </c>
      <c r="Y18" s="424">
        <v>6</v>
      </c>
      <c r="Z18" s="1"/>
    </row>
    <row r="19" spans="1:26" ht="13.2">
      <c r="A19" s="1"/>
      <c r="B19" s="363"/>
      <c r="C19" s="295"/>
      <c r="D19" s="300"/>
      <c r="E19" s="44" t="s">
        <v>34</v>
      </c>
      <c r="F19" s="296" t="s">
        <v>55</v>
      </c>
      <c r="G19" s="268"/>
      <c r="H19" s="35">
        <v>3</v>
      </c>
      <c r="I19" s="36" t="s">
        <v>52</v>
      </c>
      <c r="J19" s="37">
        <v>3</v>
      </c>
      <c r="K19" s="274"/>
      <c r="L19" s="266"/>
      <c r="M19" s="273"/>
      <c r="N19" s="268"/>
      <c r="O19" s="274"/>
      <c r="P19" s="266"/>
      <c r="Q19" s="297">
        <v>3</v>
      </c>
      <c r="R19" s="268"/>
      <c r="S19" s="419"/>
      <c r="T19" s="266"/>
      <c r="U19" s="273"/>
      <c r="V19" s="266"/>
      <c r="W19" s="38">
        <f t="shared" si="0"/>
        <v>3</v>
      </c>
      <c r="X19" s="285"/>
      <c r="Y19" s="264"/>
      <c r="Z19" s="1"/>
    </row>
    <row r="20" spans="1:26" ht="13.2">
      <c r="A20" s="1"/>
      <c r="B20" s="363"/>
      <c r="C20" s="295"/>
      <c r="D20" s="300"/>
      <c r="E20" s="41" t="s">
        <v>34</v>
      </c>
      <c r="F20" s="275" t="s">
        <v>56</v>
      </c>
      <c r="G20" s="258"/>
      <c r="H20" s="22">
        <v>4</v>
      </c>
      <c r="I20" s="23" t="s">
        <v>36</v>
      </c>
      <c r="J20" s="24">
        <v>3</v>
      </c>
      <c r="K20" s="272">
        <v>3</v>
      </c>
      <c r="L20" s="270"/>
      <c r="M20" s="271"/>
      <c r="N20" s="258"/>
      <c r="O20" s="269"/>
      <c r="P20" s="270"/>
      <c r="Q20" s="271"/>
      <c r="R20" s="258"/>
      <c r="S20" s="420"/>
      <c r="T20" s="270"/>
      <c r="U20" s="271"/>
      <c r="V20" s="270"/>
      <c r="W20" s="22">
        <f t="shared" si="0"/>
        <v>3</v>
      </c>
      <c r="X20" s="421">
        <v>6</v>
      </c>
      <c r="Y20" s="458">
        <v>12</v>
      </c>
      <c r="Z20" s="1"/>
    </row>
    <row r="21" spans="1:26" ht="13.2">
      <c r="A21" s="1"/>
      <c r="B21" s="363"/>
      <c r="C21" s="295"/>
      <c r="D21" s="264"/>
      <c r="E21" s="44" t="s">
        <v>34</v>
      </c>
      <c r="F21" s="296" t="s">
        <v>57</v>
      </c>
      <c r="G21" s="268"/>
      <c r="H21" s="35">
        <v>4</v>
      </c>
      <c r="I21" s="36" t="s">
        <v>36</v>
      </c>
      <c r="J21" s="37">
        <v>3</v>
      </c>
      <c r="K21" s="274"/>
      <c r="L21" s="266"/>
      <c r="M21" s="297">
        <v>3</v>
      </c>
      <c r="N21" s="268"/>
      <c r="O21" s="274"/>
      <c r="P21" s="266"/>
      <c r="Q21" s="273"/>
      <c r="R21" s="268"/>
      <c r="S21" s="419"/>
      <c r="T21" s="266"/>
      <c r="U21" s="273"/>
      <c r="V21" s="266"/>
      <c r="W21" s="38">
        <f t="shared" si="0"/>
        <v>3</v>
      </c>
      <c r="X21" s="285"/>
      <c r="Y21" s="295"/>
      <c r="Z21" s="1"/>
    </row>
    <row r="22" spans="1:26" ht="13.2">
      <c r="A22" s="1"/>
      <c r="B22" s="363"/>
      <c r="C22" s="295"/>
      <c r="D22" s="427" t="s">
        <v>58</v>
      </c>
      <c r="E22" s="39" t="s">
        <v>34</v>
      </c>
      <c r="F22" s="303" t="s">
        <v>59</v>
      </c>
      <c r="G22" s="270"/>
      <c r="H22" s="22">
        <v>4</v>
      </c>
      <c r="I22" s="23" t="s">
        <v>36</v>
      </c>
      <c r="J22" s="24">
        <v>3</v>
      </c>
      <c r="K22" s="272">
        <v>3</v>
      </c>
      <c r="L22" s="270"/>
      <c r="M22" s="271"/>
      <c r="N22" s="258"/>
      <c r="O22" s="269"/>
      <c r="P22" s="270"/>
      <c r="Q22" s="271"/>
      <c r="R22" s="258"/>
      <c r="S22" s="420"/>
      <c r="T22" s="270"/>
      <c r="U22" s="271"/>
      <c r="V22" s="270"/>
      <c r="W22" s="22">
        <f t="shared" si="0"/>
        <v>3</v>
      </c>
      <c r="X22" s="421">
        <v>10</v>
      </c>
      <c r="Y22" s="295"/>
      <c r="Z22" s="1"/>
    </row>
    <row r="23" spans="1:26" ht="13.2">
      <c r="A23" s="1"/>
      <c r="B23" s="363"/>
      <c r="C23" s="295"/>
      <c r="D23" s="300"/>
      <c r="E23" s="40" t="s">
        <v>34</v>
      </c>
      <c r="F23" s="312" t="s">
        <v>60</v>
      </c>
      <c r="G23" s="279"/>
      <c r="H23" s="30">
        <v>4</v>
      </c>
      <c r="I23" s="31" t="s">
        <v>36</v>
      </c>
      <c r="J23" s="32">
        <v>3</v>
      </c>
      <c r="K23" s="278"/>
      <c r="L23" s="279"/>
      <c r="M23" s="281">
        <v>3</v>
      </c>
      <c r="N23" s="277"/>
      <c r="O23" s="278"/>
      <c r="P23" s="279"/>
      <c r="Q23" s="280"/>
      <c r="R23" s="277"/>
      <c r="S23" s="422"/>
      <c r="T23" s="279"/>
      <c r="U23" s="280"/>
      <c r="V23" s="279"/>
      <c r="W23" s="33">
        <f t="shared" si="0"/>
        <v>3</v>
      </c>
      <c r="X23" s="284"/>
      <c r="Y23" s="295"/>
      <c r="Z23" s="1"/>
    </row>
    <row r="24" spans="1:26" ht="13.2">
      <c r="A24" s="1"/>
      <c r="B24" s="363"/>
      <c r="C24" s="295"/>
      <c r="D24" s="264"/>
      <c r="E24" s="51" t="s">
        <v>38</v>
      </c>
      <c r="F24" s="305" t="s">
        <v>61</v>
      </c>
      <c r="G24" s="266"/>
      <c r="H24" s="35">
        <v>4</v>
      </c>
      <c r="I24" s="36" t="s">
        <v>40</v>
      </c>
      <c r="J24" s="37">
        <v>4</v>
      </c>
      <c r="K24" s="274"/>
      <c r="L24" s="266"/>
      <c r="M24" s="273"/>
      <c r="N24" s="268"/>
      <c r="O24" s="274"/>
      <c r="P24" s="266"/>
      <c r="Q24" s="297">
        <v>4</v>
      </c>
      <c r="R24" s="268"/>
      <c r="S24" s="419"/>
      <c r="T24" s="266"/>
      <c r="U24" s="273"/>
      <c r="V24" s="266"/>
      <c r="W24" s="38">
        <f t="shared" si="0"/>
        <v>4</v>
      </c>
      <c r="X24" s="285"/>
      <c r="Y24" s="289"/>
      <c r="Z24" s="1"/>
    </row>
    <row r="25" spans="1:26" ht="13.2">
      <c r="A25" s="1"/>
      <c r="B25" s="363"/>
      <c r="C25" s="295"/>
      <c r="D25" s="427" t="s">
        <v>62</v>
      </c>
      <c r="E25" s="39" t="s">
        <v>38</v>
      </c>
      <c r="F25" s="303" t="s">
        <v>63</v>
      </c>
      <c r="G25" s="270"/>
      <c r="H25" s="22">
        <v>3</v>
      </c>
      <c r="I25" s="23" t="s">
        <v>64</v>
      </c>
      <c r="J25" s="24">
        <v>2</v>
      </c>
      <c r="K25" s="272">
        <v>2</v>
      </c>
      <c r="L25" s="270"/>
      <c r="M25" s="271"/>
      <c r="N25" s="258"/>
      <c r="O25" s="269"/>
      <c r="P25" s="270"/>
      <c r="Q25" s="271"/>
      <c r="R25" s="258"/>
      <c r="S25" s="420"/>
      <c r="T25" s="270"/>
      <c r="U25" s="271"/>
      <c r="V25" s="270"/>
      <c r="W25" s="22">
        <f t="shared" si="0"/>
        <v>2</v>
      </c>
      <c r="X25" s="421">
        <v>8</v>
      </c>
      <c r="Y25" s="432">
        <v>8</v>
      </c>
      <c r="Z25" s="1"/>
    </row>
    <row r="26" spans="1:26" ht="13.2">
      <c r="A26" s="1"/>
      <c r="B26" s="363"/>
      <c r="C26" s="295"/>
      <c r="D26" s="300"/>
      <c r="E26" s="40" t="s">
        <v>38</v>
      </c>
      <c r="F26" s="312" t="s">
        <v>65</v>
      </c>
      <c r="G26" s="279"/>
      <c r="H26" s="30">
        <v>3</v>
      </c>
      <c r="I26" s="31" t="s">
        <v>64</v>
      </c>
      <c r="J26" s="32">
        <v>2</v>
      </c>
      <c r="K26" s="278"/>
      <c r="L26" s="279"/>
      <c r="M26" s="281">
        <v>2</v>
      </c>
      <c r="N26" s="277"/>
      <c r="O26" s="278"/>
      <c r="P26" s="279"/>
      <c r="Q26" s="280"/>
      <c r="R26" s="277"/>
      <c r="S26" s="422"/>
      <c r="T26" s="279"/>
      <c r="U26" s="280"/>
      <c r="V26" s="279"/>
      <c r="W26" s="33">
        <f t="shared" si="0"/>
        <v>2</v>
      </c>
      <c r="X26" s="284"/>
      <c r="Y26" s="295"/>
      <c r="Z26" s="1"/>
    </row>
    <row r="27" spans="1:26" ht="13.2">
      <c r="A27" s="1"/>
      <c r="B27" s="363"/>
      <c r="C27" s="295"/>
      <c r="D27" s="300"/>
      <c r="E27" s="40" t="s">
        <v>66</v>
      </c>
      <c r="F27" s="312" t="s">
        <v>67</v>
      </c>
      <c r="G27" s="279"/>
      <c r="H27" s="30">
        <v>3</v>
      </c>
      <c r="I27" s="31" t="s">
        <v>64</v>
      </c>
      <c r="J27" s="32">
        <v>2</v>
      </c>
      <c r="K27" s="278"/>
      <c r="L27" s="279"/>
      <c r="M27" s="280"/>
      <c r="N27" s="277"/>
      <c r="O27" s="329">
        <v>2</v>
      </c>
      <c r="P27" s="279"/>
      <c r="Q27" s="280"/>
      <c r="R27" s="277"/>
      <c r="S27" s="422"/>
      <c r="T27" s="279"/>
      <c r="U27" s="280"/>
      <c r="V27" s="279"/>
      <c r="W27" s="33">
        <f t="shared" si="0"/>
        <v>2</v>
      </c>
      <c r="X27" s="284"/>
      <c r="Y27" s="295"/>
      <c r="Z27" s="1"/>
    </row>
    <row r="28" spans="1:26" ht="13.2">
      <c r="A28" s="1"/>
      <c r="B28" s="363"/>
      <c r="C28" s="295"/>
      <c r="D28" s="264"/>
      <c r="E28" s="51" t="s">
        <v>66</v>
      </c>
      <c r="F28" s="305" t="s">
        <v>68</v>
      </c>
      <c r="G28" s="266"/>
      <c r="H28" s="35">
        <v>3</v>
      </c>
      <c r="I28" s="36" t="s">
        <v>64</v>
      </c>
      <c r="J28" s="37">
        <v>2</v>
      </c>
      <c r="K28" s="274"/>
      <c r="L28" s="266"/>
      <c r="M28" s="273"/>
      <c r="N28" s="268"/>
      <c r="O28" s="274"/>
      <c r="P28" s="266"/>
      <c r="Q28" s="297">
        <v>2</v>
      </c>
      <c r="R28" s="268"/>
      <c r="S28" s="419"/>
      <c r="T28" s="266"/>
      <c r="U28" s="273"/>
      <c r="V28" s="266"/>
      <c r="W28" s="38">
        <f t="shared" si="0"/>
        <v>2</v>
      </c>
      <c r="X28" s="285"/>
      <c r="Y28" s="262"/>
      <c r="Z28" s="1"/>
    </row>
    <row r="29" spans="1:26" ht="13.2">
      <c r="A29" s="1"/>
      <c r="B29" s="363"/>
      <c r="C29" s="295"/>
      <c r="D29" s="427" t="s">
        <v>69</v>
      </c>
      <c r="E29" s="39" t="s">
        <v>38</v>
      </c>
      <c r="F29" s="275" t="s">
        <v>70</v>
      </c>
      <c r="G29" s="258"/>
      <c r="H29" s="22">
        <v>3</v>
      </c>
      <c r="I29" s="23" t="s">
        <v>64</v>
      </c>
      <c r="J29" s="24">
        <v>3</v>
      </c>
      <c r="K29" s="272">
        <v>3</v>
      </c>
      <c r="L29" s="270"/>
      <c r="M29" s="271"/>
      <c r="N29" s="258"/>
      <c r="O29" s="269"/>
      <c r="P29" s="270"/>
      <c r="Q29" s="271"/>
      <c r="R29" s="258"/>
      <c r="S29" s="420"/>
      <c r="T29" s="270"/>
      <c r="U29" s="271"/>
      <c r="V29" s="270"/>
      <c r="W29" s="431">
        <v>6</v>
      </c>
      <c r="X29" s="260"/>
      <c r="Y29" s="432">
        <v>6</v>
      </c>
      <c r="Z29" s="1"/>
    </row>
    <row r="30" spans="1:26" ht="13.2">
      <c r="A30" s="1"/>
      <c r="B30" s="363"/>
      <c r="C30" s="295"/>
      <c r="D30" s="264"/>
      <c r="E30" s="51" t="s">
        <v>71</v>
      </c>
      <c r="F30" s="296" t="s">
        <v>72</v>
      </c>
      <c r="G30" s="268"/>
      <c r="H30" s="35">
        <v>3</v>
      </c>
      <c r="I30" s="36" t="s">
        <v>64</v>
      </c>
      <c r="J30" s="37">
        <v>3</v>
      </c>
      <c r="K30" s="274"/>
      <c r="L30" s="266"/>
      <c r="M30" s="297">
        <v>3</v>
      </c>
      <c r="N30" s="268"/>
      <c r="O30" s="274"/>
      <c r="P30" s="266"/>
      <c r="Q30" s="273"/>
      <c r="R30" s="268"/>
      <c r="S30" s="419"/>
      <c r="T30" s="266"/>
      <c r="U30" s="273"/>
      <c r="V30" s="266"/>
      <c r="W30" s="261"/>
      <c r="X30" s="262"/>
      <c r="Y30" s="262"/>
      <c r="Z30" s="1"/>
    </row>
    <row r="31" spans="1:26" ht="13.2">
      <c r="A31" s="1"/>
      <c r="B31" s="363"/>
      <c r="C31" s="295"/>
      <c r="D31" s="457" t="s">
        <v>73</v>
      </c>
      <c r="E31" s="39" t="s">
        <v>38</v>
      </c>
      <c r="F31" s="275" t="s">
        <v>74</v>
      </c>
      <c r="G31" s="258"/>
      <c r="H31" s="22">
        <v>4</v>
      </c>
      <c r="I31" s="23" t="s">
        <v>40</v>
      </c>
      <c r="J31" s="24">
        <v>3</v>
      </c>
      <c r="K31" s="269"/>
      <c r="L31" s="270"/>
      <c r="M31" s="271"/>
      <c r="N31" s="258"/>
      <c r="O31" s="272">
        <v>3</v>
      </c>
      <c r="P31" s="270"/>
      <c r="Q31" s="271"/>
      <c r="R31" s="258"/>
      <c r="S31" s="420"/>
      <c r="T31" s="270"/>
      <c r="U31" s="271"/>
      <c r="V31" s="258"/>
      <c r="W31" s="22">
        <f t="shared" ref="W31:W42" si="1">SUM(K31:V31)</f>
        <v>3</v>
      </c>
      <c r="X31" s="421">
        <v>9</v>
      </c>
      <c r="Y31" s="432">
        <v>8</v>
      </c>
      <c r="Z31" s="1"/>
    </row>
    <row r="32" spans="1:26" ht="13.2">
      <c r="A32" s="1"/>
      <c r="B32" s="363"/>
      <c r="C32" s="295"/>
      <c r="D32" s="300"/>
      <c r="E32" s="40" t="s">
        <v>71</v>
      </c>
      <c r="F32" s="276" t="s">
        <v>75</v>
      </c>
      <c r="G32" s="277"/>
      <c r="H32" s="30">
        <v>4</v>
      </c>
      <c r="I32" s="31" t="s">
        <v>40</v>
      </c>
      <c r="J32" s="32">
        <v>3</v>
      </c>
      <c r="K32" s="278"/>
      <c r="L32" s="279"/>
      <c r="M32" s="280"/>
      <c r="N32" s="277"/>
      <c r="O32" s="278"/>
      <c r="P32" s="279"/>
      <c r="Q32" s="281">
        <v>3</v>
      </c>
      <c r="R32" s="277"/>
      <c r="S32" s="422"/>
      <c r="T32" s="279"/>
      <c r="U32" s="280"/>
      <c r="V32" s="277"/>
      <c r="W32" s="33">
        <f t="shared" si="1"/>
        <v>3</v>
      </c>
      <c r="X32" s="284"/>
      <c r="Y32" s="295"/>
      <c r="Z32" s="1"/>
    </row>
    <row r="33" spans="1:26" ht="13.8">
      <c r="A33" s="1"/>
      <c r="B33" s="261"/>
      <c r="C33" s="262"/>
      <c r="D33" s="264"/>
      <c r="E33" s="51" t="s">
        <v>38</v>
      </c>
      <c r="F33" s="298" t="s">
        <v>99</v>
      </c>
      <c r="G33" s="268"/>
      <c r="H33" s="26">
        <v>3</v>
      </c>
      <c r="I33" s="27" t="s">
        <v>64</v>
      </c>
      <c r="J33" s="52">
        <v>3</v>
      </c>
      <c r="K33" s="436">
        <v>3</v>
      </c>
      <c r="L33" s="266"/>
      <c r="M33" s="333"/>
      <c r="N33" s="268"/>
      <c r="O33" s="436"/>
      <c r="P33" s="266"/>
      <c r="Q33" s="333"/>
      <c r="R33" s="268"/>
      <c r="S33" s="433"/>
      <c r="T33" s="266"/>
      <c r="U33" s="333"/>
      <c r="V33" s="268"/>
      <c r="W33" s="38">
        <f t="shared" si="1"/>
        <v>3</v>
      </c>
      <c r="X33" s="285"/>
      <c r="Y33" s="262"/>
      <c r="Z33" s="5" t="s">
        <v>101</v>
      </c>
    </row>
    <row r="34" spans="1:26" ht="13.8">
      <c r="A34" s="1"/>
      <c r="B34" s="437" t="s">
        <v>76</v>
      </c>
      <c r="C34" s="372"/>
      <c r="D34" s="372"/>
      <c r="E34" s="372"/>
      <c r="F34" s="372"/>
      <c r="G34" s="316"/>
      <c r="H34" s="53">
        <f>SUM(H9:H33)</f>
        <v>91</v>
      </c>
      <c r="I34" s="54"/>
      <c r="J34" s="55">
        <f>SUM(J9:J33)</f>
        <v>75</v>
      </c>
      <c r="K34" s="437">
        <f>SUM(K9:L33)</f>
        <v>20</v>
      </c>
      <c r="L34" s="316"/>
      <c r="M34" s="434">
        <f>SUM(M9:N33)</f>
        <v>17</v>
      </c>
      <c r="N34" s="323"/>
      <c r="O34" s="437">
        <f>SUM(O9:P33)</f>
        <v>15</v>
      </c>
      <c r="P34" s="316"/>
      <c r="Q34" s="434">
        <f>SUM(Q9:R33)</f>
        <v>19</v>
      </c>
      <c r="R34" s="323"/>
      <c r="S34" s="435">
        <f>SUM(S9:T33)</f>
        <v>4</v>
      </c>
      <c r="T34" s="316"/>
      <c r="U34" s="434">
        <v>0</v>
      </c>
      <c r="V34" s="316"/>
      <c r="W34" s="434">
        <f t="shared" si="1"/>
        <v>75</v>
      </c>
      <c r="X34" s="316"/>
      <c r="Y34" s="57">
        <v>64</v>
      </c>
      <c r="Z34" s="1"/>
    </row>
    <row r="35" spans="1:26" ht="13.8">
      <c r="A35" s="1"/>
      <c r="B35" s="456" t="s">
        <v>93</v>
      </c>
      <c r="C35" s="395"/>
      <c r="D35" s="431" t="s">
        <v>94</v>
      </c>
      <c r="E35" s="260"/>
      <c r="F35" s="275" t="s">
        <v>104</v>
      </c>
      <c r="G35" s="258"/>
      <c r="H35" s="59"/>
      <c r="I35" s="8"/>
      <c r="J35" s="14">
        <v>2</v>
      </c>
      <c r="K35" s="349"/>
      <c r="L35" s="270"/>
      <c r="M35" s="351"/>
      <c r="N35" s="258"/>
      <c r="O35" s="349"/>
      <c r="P35" s="270"/>
      <c r="Q35" s="351"/>
      <c r="R35" s="258"/>
      <c r="S35" s="439">
        <v>2</v>
      </c>
      <c r="T35" s="270"/>
      <c r="U35" s="440"/>
      <c r="V35" s="258"/>
      <c r="W35" s="446">
        <f t="shared" si="1"/>
        <v>2</v>
      </c>
      <c r="X35" s="258"/>
      <c r="Y35" s="424">
        <v>80</v>
      </c>
      <c r="Z35" s="5" t="s">
        <v>105</v>
      </c>
    </row>
    <row r="36" spans="1:26" ht="13.8">
      <c r="A36" s="1"/>
      <c r="B36" s="363"/>
      <c r="C36" s="395"/>
      <c r="D36" s="261"/>
      <c r="E36" s="262"/>
      <c r="F36" s="296" t="s">
        <v>106</v>
      </c>
      <c r="G36" s="268"/>
      <c r="H36" s="60"/>
      <c r="I36" s="10"/>
      <c r="J36" s="28">
        <v>2</v>
      </c>
      <c r="K36" s="436"/>
      <c r="L36" s="266"/>
      <c r="M36" s="333"/>
      <c r="N36" s="268"/>
      <c r="O36" s="441">
        <v>2</v>
      </c>
      <c r="P36" s="266"/>
      <c r="Q36" s="333"/>
      <c r="R36" s="268"/>
      <c r="S36" s="433"/>
      <c r="T36" s="266"/>
      <c r="U36" s="333"/>
      <c r="V36" s="268"/>
      <c r="W36" s="447">
        <f t="shared" si="1"/>
        <v>2</v>
      </c>
      <c r="X36" s="268"/>
      <c r="Y36" s="300"/>
      <c r="Z36" s="5" t="s">
        <v>107</v>
      </c>
    </row>
    <row r="37" spans="1:26" ht="13.8">
      <c r="A37" s="1"/>
      <c r="B37" s="363"/>
      <c r="C37" s="395"/>
      <c r="D37" s="39" t="s">
        <v>13</v>
      </c>
      <c r="E37" s="39" t="s">
        <v>79</v>
      </c>
      <c r="F37" s="275" t="s">
        <v>80</v>
      </c>
      <c r="G37" s="258"/>
      <c r="H37" s="59"/>
      <c r="I37" s="8"/>
      <c r="J37" s="14">
        <v>12</v>
      </c>
      <c r="K37" s="442">
        <v>6</v>
      </c>
      <c r="L37" s="270"/>
      <c r="M37" s="440">
        <v>6</v>
      </c>
      <c r="N37" s="258"/>
      <c r="O37" s="349"/>
      <c r="P37" s="270"/>
      <c r="Q37" s="351"/>
      <c r="R37" s="258"/>
      <c r="S37" s="460"/>
      <c r="T37" s="270"/>
      <c r="U37" s="351"/>
      <c r="V37" s="258"/>
      <c r="W37" s="446">
        <f t="shared" si="1"/>
        <v>12</v>
      </c>
      <c r="X37" s="258"/>
      <c r="Y37" s="300"/>
      <c r="Z37" s="1"/>
    </row>
    <row r="38" spans="1:26" ht="13.8">
      <c r="A38" s="1"/>
      <c r="B38" s="363"/>
      <c r="C38" s="395"/>
      <c r="D38" s="40" t="s">
        <v>13</v>
      </c>
      <c r="E38" s="40" t="s">
        <v>79</v>
      </c>
      <c r="F38" s="276" t="s">
        <v>108</v>
      </c>
      <c r="G38" s="277"/>
      <c r="H38" s="63"/>
      <c r="I38" s="2"/>
      <c r="J38" s="64">
        <v>9</v>
      </c>
      <c r="K38" s="319">
        <v>3</v>
      </c>
      <c r="L38" s="279"/>
      <c r="M38" s="327">
        <v>6</v>
      </c>
      <c r="N38" s="277"/>
      <c r="O38" s="343"/>
      <c r="P38" s="279"/>
      <c r="Q38" s="328"/>
      <c r="R38" s="277"/>
      <c r="S38" s="443"/>
      <c r="T38" s="279"/>
      <c r="U38" s="328"/>
      <c r="V38" s="277"/>
      <c r="W38" s="444">
        <f t="shared" si="1"/>
        <v>9</v>
      </c>
      <c r="X38" s="277"/>
      <c r="Y38" s="300"/>
      <c r="Z38" s="5" t="s">
        <v>111</v>
      </c>
    </row>
    <row r="39" spans="1:26" ht="13.8">
      <c r="A39" s="1"/>
      <c r="B39" s="363"/>
      <c r="C39" s="395"/>
      <c r="D39" s="40" t="s">
        <v>13</v>
      </c>
      <c r="E39" s="40" t="s">
        <v>79</v>
      </c>
      <c r="F39" s="276" t="s">
        <v>112</v>
      </c>
      <c r="G39" s="277"/>
      <c r="H39" s="63"/>
      <c r="I39" s="2"/>
      <c r="J39" s="19">
        <v>12</v>
      </c>
      <c r="K39" s="343"/>
      <c r="L39" s="279"/>
      <c r="M39" s="328"/>
      <c r="N39" s="277"/>
      <c r="O39" s="319">
        <v>6</v>
      </c>
      <c r="P39" s="279"/>
      <c r="Q39" s="327">
        <v>6</v>
      </c>
      <c r="R39" s="277"/>
      <c r="S39" s="443"/>
      <c r="T39" s="279"/>
      <c r="U39" s="328"/>
      <c r="V39" s="277"/>
      <c r="W39" s="444">
        <f t="shared" si="1"/>
        <v>12</v>
      </c>
      <c r="X39" s="277"/>
      <c r="Y39" s="300"/>
      <c r="Z39" s="1"/>
    </row>
    <row r="40" spans="1:26" ht="13.8">
      <c r="A40" s="1"/>
      <c r="B40" s="363"/>
      <c r="C40" s="395"/>
      <c r="D40" s="40" t="s">
        <v>13</v>
      </c>
      <c r="E40" s="40" t="s">
        <v>79</v>
      </c>
      <c r="F40" s="276" t="s">
        <v>114</v>
      </c>
      <c r="G40" s="277"/>
      <c r="H40" s="63"/>
      <c r="I40" s="2"/>
      <c r="J40" s="19">
        <v>10</v>
      </c>
      <c r="K40" s="343"/>
      <c r="L40" s="279"/>
      <c r="M40" s="328"/>
      <c r="N40" s="277"/>
      <c r="O40" s="319">
        <v>6</v>
      </c>
      <c r="P40" s="279"/>
      <c r="Q40" s="327">
        <v>4</v>
      </c>
      <c r="R40" s="277"/>
      <c r="S40" s="443"/>
      <c r="T40" s="279"/>
      <c r="U40" s="328"/>
      <c r="V40" s="277"/>
      <c r="W40" s="444">
        <f t="shared" si="1"/>
        <v>10</v>
      </c>
      <c r="X40" s="277"/>
      <c r="Y40" s="300"/>
      <c r="Z40" s="1"/>
    </row>
    <row r="41" spans="1:26" ht="13.8">
      <c r="A41" s="1"/>
      <c r="B41" s="363"/>
      <c r="C41" s="395"/>
      <c r="D41" s="40" t="s">
        <v>13</v>
      </c>
      <c r="E41" s="40" t="s">
        <v>79</v>
      </c>
      <c r="F41" s="276" t="s">
        <v>115</v>
      </c>
      <c r="G41" s="277"/>
      <c r="H41" s="63"/>
      <c r="I41" s="2"/>
      <c r="J41" s="19">
        <v>11</v>
      </c>
      <c r="K41" s="343"/>
      <c r="L41" s="279"/>
      <c r="M41" s="328"/>
      <c r="N41" s="277"/>
      <c r="O41" s="343"/>
      <c r="P41" s="279"/>
      <c r="Q41" s="328"/>
      <c r="R41" s="277"/>
      <c r="S41" s="469">
        <v>4</v>
      </c>
      <c r="T41" s="279"/>
      <c r="U41" s="327">
        <v>7</v>
      </c>
      <c r="V41" s="277"/>
      <c r="W41" s="444">
        <f t="shared" si="1"/>
        <v>11</v>
      </c>
      <c r="X41" s="277"/>
      <c r="Y41" s="300"/>
      <c r="Z41" s="5" t="s">
        <v>116</v>
      </c>
    </row>
    <row r="42" spans="1:26" ht="13.8">
      <c r="A42" s="1"/>
      <c r="B42" s="363"/>
      <c r="C42" s="395"/>
      <c r="D42" s="51" t="s">
        <v>13</v>
      </c>
      <c r="E42" s="51" t="s">
        <v>79</v>
      </c>
      <c r="F42" s="296" t="s">
        <v>84</v>
      </c>
      <c r="G42" s="268"/>
      <c r="H42" s="60"/>
      <c r="I42" s="10"/>
      <c r="J42" s="28">
        <v>11</v>
      </c>
      <c r="K42" s="347"/>
      <c r="L42" s="266"/>
      <c r="M42" s="333"/>
      <c r="N42" s="268"/>
      <c r="O42" s="347"/>
      <c r="P42" s="266"/>
      <c r="Q42" s="333"/>
      <c r="R42" s="268"/>
      <c r="S42" s="468">
        <v>4</v>
      </c>
      <c r="T42" s="266"/>
      <c r="U42" s="470">
        <v>7</v>
      </c>
      <c r="V42" s="268"/>
      <c r="W42" s="445">
        <f t="shared" si="1"/>
        <v>11</v>
      </c>
      <c r="X42" s="293"/>
      <c r="Y42" s="300"/>
      <c r="Z42" s="5" t="s">
        <v>116</v>
      </c>
    </row>
    <row r="43" spans="1:26" ht="39.6">
      <c r="A43" s="1"/>
      <c r="B43" s="390" t="s">
        <v>85</v>
      </c>
      <c r="C43" s="65" t="s">
        <v>117</v>
      </c>
      <c r="D43" s="39" t="s">
        <v>13</v>
      </c>
      <c r="E43" s="39" t="s">
        <v>79</v>
      </c>
      <c r="F43" s="275" t="s">
        <v>118</v>
      </c>
      <c r="G43" s="258"/>
      <c r="H43" s="59"/>
      <c r="I43" s="8"/>
      <c r="J43" s="14">
        <v>30</v>
      </c>
      <c r="K43" s="269"/>
      <c r="L43" s="270"/>
      <c r="M43" s="271"/>
      <c r="N43" s="258"/>
      <c r="O43" s="269"/>
      <c r="P43" s="270"/>
      <c r="Q43" s="271"/>
      <c r="R43" s="258"/>
      <c r="S43" s="438">
        <v>15</v>
      </c>
      <c r="T43" s="270"/>
      <c r="U43" s="366">
        <v>15</v>
      </c>
      <c r="V43" s="258"/>
      <c r="W43" s="431">
        <v>30</v>
      </c>
      <c r="X43" s="260"/>
      <c r="Y43" s="300"/>
      <c r="Z43" s="1"/>
    </row>
    <row r="44" spans="1:26" ht="26.4">
      <c r="A44" s="1"/>
      <c r="B44" s="264"/>
      <c r="C44" s="66" t="s">
        <v>119</v>
      </c>
      <c r="D44" s="51" t="s">
        <v>13</v>
      </c>
      <c r="E44" s="51" t="s">
        <v>79</v>
      </c>
      <c r="F44" s="296" t="s">
        <v>120</v>
      </c>
      <c r="G44" s="268"/>
      <c r="H44" s="60"/>
      <c r="I44" s="10"/>
      <c r="J44" s="28">
        <v>30</v>
      </c>
      <c r="K44" s="274"/>
      <c r="L44" s="266"/>
      <c r="M44" s="273"/>
      <c r="N44" s="268"/>
      <c r="O44" s="274"/>
      <c r="P44" s="266"/>
      <c r="Q44" s="273"/>
      <c r="R44" s="268"/>
      <c r="S44" s="423">
        <v>15</v>
      </c>
      <c r="T44" s="266"/>
      <c r="U44" s="297">
        <v>15</v>
      </c>
      <c r="V44" s="268"/>
      <c r="W44" s="261"/>
      <c r="X44" s="262"/>
      <c r="Y44" s="264"/>
      <c r="Z44" s="1"/>
    </row>
    <row r="45" spans="1:26" ht="13.2">
      <c r="A45" s="1"/>
      <c r="B45" s="449" t="s">
        <v>86</v>
      </c>
      <c r="C45" s="368"/>
      <c r="D45" s="368"/>
      <c r="E45" s="368"/>
      <c r="F45" s="368"/>
      <c r="G45" s="260"/>
      <c r="H45" s="450">
        <v>0</v>
      </c>
      <c r="I45" s="451">
        <v>0</v>
      </c>
      <c r="J45" s="452">
        <f>SUM(J35:J43)</f>
        <v>99</v>
      </c>
      <c r="K45" s="449">
        <f>SUM(K35:L44)</f>
        <v>9</v>
      </c>
      <c r="L45" s="358"/>
      <c r="M45" s="462">
        <f>SUM(M35:N44)</f>
        <v>12</v>
      </c>
      <c r="N45" s="260"/>
      <c r="O45" s="449">
        <f>SUM(O35:P44)</f>
        <v>14</v>
      </c>
      <c r="P45" s="358"/>
      <c r="Q45" s="462">
        <f>SUM(Q35:R44)</f>
        <v>10</v>
      </c>
      <c r="R45" s="260"/>
      <c r="S45" s="449">
        <f>SUM(S35:S43)</f>
        <v>25</v>
      </c>
      <c r="T45" s="358"/>
      <c r="U45" s="462">
        <f>SUM(U41,U42,U43)</f>
        <v>29</v>
      </c>
      <c r="V45" s="260"/>
      <c r="W45" s="449">
        <f>SUM(K45:V45)</f>
        <v>99</v>
      </c>
      <c r="X45" s="260"/>
      <c r="Y45" s="424">
        <v>80</v>
      </c>
      <c r="Z45" s="1"/>
    </row>
    <row r="46" spans="1:26" ht="13.2">
      <c r="A46" s="1"/>
      <c r="B46" s="261"/>
      <c r="C46" s="341"/>
      <c r="D46" s="341"/>
      <c r="E46" s="341"/>
      <c r="F46" s="341"/>
      <c r="G46" s="262"/>
      <c r="H46" s="385"/>
      <c r="I46" s="370"/>
      <c r="J46" s="285"/>
      <c r="K46" s="261"/>
      <c r="L46" s="359"/>
      <c r="M46" s="309"/>
      <c r="N46" s="262"/>
      <c r="O46" s="261"/>
      <c r="P46" s="359"/>
      <c r="Q46" s="309"/>
      <c r="R46" s="262"/>
      <c r="S46" s="261"/>
      <c r="T46" s="359"/>
      <c r="U46" s="309"/>
      <c r="V46" s="262"/>
      <c r="W46" s="261"/>
      <c r="X46" s="262"/>
      <c r="Y46" s="264"/>
      <c r="Z46" s="1"/>
    </row>
    <row r="47" spans="1:26" ht="13.2">
      <c r="A47" s="1"/>
      <c r="B47" s="448"/>
      <c r="C47" s="307"/>
      <c r="D47" s="307"/>
      <c r="E47" s="307"/>
      <c r="F47" s="307"/>
      <c r="G47" s="395"/>
      <c r="H47" s="67">
        <v>91</v>
      </c>
      <c r="I47" s="68">
        <v>0</v>
      </c>
      <c r="J47" s="69">
        <f t="shared" ref="J47:K47" si="2">SUM(J34,J45)</f>
        <v>174</v>
      </c>
      <c r="K47" s="437">
        <f t="shared" si="2"/>
        <v>29</v>
      </c>
      <c r="L47" s="316"/>
      <c r="M47" s="434">
        <f>SUM(M34,M45)</f>
        <v>29</v>
      </c>
      <c r="N47" s="323"/>
      <c r="O47" s="437">
        <f>SUM(O34,O45)</f>
        <v>29</v>
      </c>
      <c r="P47" s="316"/>
      <c r="Q47" s="434">
        <f>SUM(Q34,Q45)</f>
        <v>29</v>
      </c>
      <c r="R47" s="323"/>
      <c r="S47" s="437">
        <f>SUM(S34,S45)</f>
        <v>29</v>
      </c>
      <c r="T47" s="316"/>
      <c r="U47" s="437">
        <f>SUM(U34,U45)</f>
        <v>29</v>
      </c>
      <c r="V47" s="316"/>
      <c r="W47" s="437">
        <v>174</v>
      </c>
      <c r="X47" s="323"/>
      <c r="Y47" s="70">
        <v>144</v>
      </c>
      <c r="Z47" s="1"/>
    </row>
    <row r="48" spans="1:26" ht="13.2">
      <c r="A48" s="1"/>
      <c r="B48" s="431" t="s">
        <v>87</v>
      </c>
      <c r="C48" s="368"/>
      <c r="D48" s="368"/>
      <c r="E48" s="260"/>
      <c r="F48" s="397" t="s">
        <v>88</v>
      </c>
      <c r="G48" s="257"/>
      <c r="H48" s="257"/>
      <c r="I48" s="257"/>
      <c r="J48" s="258"/>
      <c r="K48" s="471">
        <v>16</v>
      </c>
      <c r="L48" s="270"/>
      <c r="M48" s="472">
        <v>16</v>
      </c>
      <c r="N48" s="258"/>
      <c r="O48" s="471">
        <v>16</v>
      </c>
      <c r="P48" s="270"/>
      <c r="Q48" s="472">
        <v>16</v>
      </c>
      <c r="R48" s="258"/>
      <c r="S48" s="473">
        <v>16</v>
      </c>
      <c r="T48" s="270"/>
      <c r="U48" s="472">
        <v>16</v>
      </c>
      <c r="V48" s="258"/>
      <c r="W48" s="431">
        <v>288</v>
      </c>
      <c r="X48" s="260"/>
      <c r="Y48" s="424">
        <v>288</v>
      </c>
      <c r="Z48" s="1"/>
    </row>
    <row r="49" spans="1:26" ht="13.2">
      <c r="A49" s="1"/>
      <c r="B49" s="363"/>
      <c r="C49" s="307"/>
      <c r="D49" s="307"/>
      <c r="E49" s="295"/>
      <c r="F49" s="444" t="s">
        <v>89</v>
      </c>
      <c r="G49" s="353"/>
      <c r="H49" s="353"/>
      <c r="I49" s="353"/>
      <c r="J49" s="277"/>
      <c r="K49" s="467">
        <v>16</v>
      </c>
      <c r="L49" s="279"/>
      <c r="M49" s="464">
        <v>16</v>
      </c>
      <c r="N49" s="277"/>
      <c r="O49" s="467">
        <v>16</v>
      </c>
      <c r="P49" s="279"/>
      <c r="Q49" s="464">
        <v>16</v>
      </c>
      <c r="R49" s="277"/>
      <c r="S49" s="465">
        <v>16</v>
      </c>
      <c r="T49" s="279"/>
      <c r="U49" s="464">
        <v>16</v>
      </c>
      <c r="V49" s="277"/>
      <c r="W49" s="363"/>
      <c r="X49" s="295"/>
      <c r="Y49" s="300"/>
      <c r="Z49" s="1"/>
    </row>
    <row r="50" spans="1:26" ht="13.2">
      <c r="A50" s="1"/>
      <c r="B50" s="363"/>
      <c r="C50" s="307"/>
      <c r="D50" s="307"/>
      <c r="E50" s="295"/>
      <c r="F50" s="444" t="s">
        <v>90</v>
      </c>
      <c r="G50" s="353"/>
      <c r="H50" s="353"/>
      <c r="I50" s="353"/>
      <c r="J50" s="277"/>
      <c r="K50" s="467">
        <v>16</v>
      </c>
      <c r="L50" s="279"/>
      <c r="M50" s="464">
        <v>16</v>
      </c>
      <c r="N50" s="277"/>
      <c r="O50" s="467">
        <v>16</v>
      </c>
      <c r="P50" s="279"/>
      <c r="Q50" s="464">
        <v>16</v>
      </c>
      <c r="R50" s="277"/>
      <c r="S50" s="465">
        <v>16</v>
      </c>
      <c r="T50" s="279"/>
      <c r="U50" s="464">
        <v>16</v>
      </c>
      <c r="V50" s="277"/>
      <c r="W50" s="364"/>
      <c r="X50" s="289"/>
      <c r="Y50" s="463"/>
      <c r="Z50" s="1"/>
    </row>
    <row r="51" spans="1:26" ht="13.2">
      <c r="A51" s="1"/>
      <c r="B51" s="261"/>
      <c r="C51" s="341"/>
      <c r="D51" s="341"/>
      <c r="E51" s="262"/>
      <c r="F51" s="447" t="s">
        <v>91</v>
      </c>
      <c r="G51" s="380"/>
      <c r="H51" s="380"/>
      <c r="I51" s="380"/>
      <c r="J51" s="268"/>
      <c r="K51" s="447">
        <v>3</v>
      </c>
      <c r="L51" s="266"/>
      <c r="M51" s="461">
        <v>3</v>
      </c>
      <c r="N51" s="268"/>
      <c r="O51" s="447">
        <v>3</v>
      </c>
      <c r="P51" s="266"/>
      <c r="Q51" s="461">
        <v>3</v>
      </c>
      <c r="R51" s="268"/>
      <c r="S51" s="466">
        <v>3</v>
      </c>
      <c r="T51" s="266"/>
      <c r="U51" s="461">
        <v>3</v>
      </c>
      <c r="V51" s="268"/>
      <c r="W51" s="447">
        <v>18</v>
      </c>
      <c r="X51" s="268"/>
      <c r="Y51" s="71">
        <v>18</v>
      </c>
      <c r="Z51" s="1"/>
    </row>
    <row r="52" spans="1:26" ht="13.2">
      <c r="A52" s="1"/>
      <c r="B52" s="371"/>
      <c r="C52" s="372"/>
      <c r="D52" s="372"/>
      <c r="E52" s="372"/>
      <c r="F52" s="372"/>
      <c r="G52" s="372"/>
      <c r="H52" s="372"/>
      <c r="I52" s="372"/>
      <c r="J52" s="323"/>
      <c r="K52" s="437">
        <v>32</v>
      </c>
      <c r="L52" s="316"/>
      <c r="M52" s="434">
        <v>32</v>
      </c>
      <c r="N52" s="323"/>
      <c r="O52" s="474">
        <v>32</v>
      </c>
      <c r="P52" s="287"/>
      <c r="Q52" s="475">
        <v>32</v>
      </c>
      <c r="R52" s="289"/>
      <c r="S52" s="476">
        <v>32</v>
      </c>
      <c r="T52" s="287"/>
      <c r="U52" s="475">
        <v>32</v>
      </c>
      <c r="V52" s="287"/>
      <c r="W52" s="475">
        <v>192</v>
      </c>
      <c r="X52" s="287"/>
      <c r="Y52" s="72">
        <v>192</v>
      </c>
      <c r="Z52" s="1"/>
    </row>
    <row r="53" spans="1:26" ht="13.2">
      <c r="A53" s="1"/>
      <c r="B53" s="371"/>
      <c r="C53" s="372"/>
      <c r="D53" s="372"/>
      <c r="E53" s="372"/>
      <c r="F53" s="372"/>
      <c r="G53" s="372"/>
      <c r="H53" s="372"/>
      <c r="I53" s="372"/>
      <c r="J53" s="323"/>
      <c r="K53" s="477">
        <v>64</v>
      </c>
      <c r="L53" s="341"/>
      <c r="M53" s="341"/>
      <c r="N53" s="262"/>
      <c r="O53" s="478">
        <v>64</v>
      </c>
      <c r="P53" s="380"/>
      <c r="Q53" s="380"/>
      <c r="R53" s="268"/>
      <c r="S53" s="479">
        <v>64</v>
      </c>
      <c r="T53" s="380"/>
      <c r="U53" s="380"/>
      <c r="V53" s="266"/>
      <c r="W53" s="480">
        <v>192</v>
      </c>
      <c r="X53" s="266"/>
      <c r="Y53" s="73"/>
      <c r="Z53" s="1"/>
    </row>
    <row r="54" spans="1:26" ht="13.2">
      <c r="A54" s="1"/>
      <c r="B54" s="1"/>
      <c r="C54" s="306" t="s">
        <v>121</v>
      </c>
      <c r="D54" s="30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spans="1:26" ht="13.2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spans="1:26" ht="13.2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spans="1:26" ht="13.2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spans="1:26" ht="13.2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spans="1:26" ht="13.2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395">
    <mergeCell ref="W52:X52"/>
    <mergeCell ref="K53:N53"/>
    <mergeCell ref="O53:R53"/>
    <mergeCell ref="S53:V53"/>
    <mergeCell ref="W53:X53"/>
    <mergeCell ref="AA2:AA5"/>
    <mergeCell ref="K48:L48"/>
    <mergeCell ref="M48:N48"/>
    <mergeCell ref="O48:P48"/>
    <mergeCell ref="Q48:R48"/>
    <mergeCell ref="S48:T48"/>
    <mergeCell ref="U48:V48"/>
    <mergeCell ref="K49:L49"/>
    <mergeCell ref="K51:L51"/>
    <mergeCell ref="K52:L52"/>
    <mergeCell ref="M52:N52"/>
    <mergeCell ref="O52:P52"/>
    <mergeCell ref="Q52:R52"/>
    <mergeCell ref="S52:T52"/>
    <mergeCell ref="U52:V52"/>
    <mergeCell ref="K45:L46"/>
    <mergeCell ref="M45:N46"/>
    <mergeCell ref="O45:P46"/>
    <mergeCell ref="Q45:R46"/>
    <mergeCell ref="S45:T46"/>
    <mergeCell ref="K47:L47"/>
    <mergeCell ref="M47:N47"/>
    <mergeCell ref="O47:P47"/>
    <mergeCell ref="Q47:R47"/>
    <mergeCell ref="S47:T47"/>
    <mergeCell ref="Q42:R42"/>
    <mergeCell ref="S42:T42"/>
    <mergeCell ref="K41:L41"/>
    <mergeCell ref="M41:N41"/>
    <mergeCell ref="O41:P41"/>
    <mergeCell ref="Q41:R41"/>
    <mergeCell ref="S41:T41"/>
    <mergeCell ref="U41:V41"/>
    <mergeCell ref="K42:L42"/>
    <mergeCell ref="U42:V42"/>
    <mergeCell ref="M42:N42"/>
    <mergeCell ref="O42:P42"/>
    <mergeCell ref="Q49:R49"/>
    <mergeCell ref="S49:T49"/>
    <mergeCell ref="Q50:R50"/>
    <mergeCell ref="S50:T50"/>
    <mergeCell ref="Q51:R51"/>
    <mergeCell ref="S51:T51"/>
    <mergeCell ref="M49:N49"/>
    <mergeCell ref="O49:P49"/>
    <mergeCell ref="K50:L50"/>
    <mergeCell ref="M50:N50"/>
    <mergeCell ref="O50:P50"/>
    <mergeCell ref="M51:N51"/>
    <mergeCell ref="O51:P51"/>
    <mergeCell ref="U51:V51"/>
    <mergeCell ref="W51:X51"/>
    <mergeCell ref="U45:V46"/>
    <mergeCell ref="W45:X46"/>
    <mergeCell ref="Y45:Y46"/>
    <mergeCell ref="W48:X50"/>
    <mergeCell ref="Y48:Y50"/>
    <mergeCell ref="U49:V49"/>
    <mergeCell ref="U50:V50"/>
    <mergeCell ref="U47:V47"/>
    <mergeCell ref="W47:X47"/>
    <mergeCell ref="X2:Y2"/>
    <mergeCell ref="P3:Y3"/>
    <mergeCell ref="P4:S4"/>
    <mergeCell ref="T4:V4"/>
    <mergeCell ref="W4:Y4"/>
    <mergeCell ref="V6:Y6"/>
    <mergeCell ref="B2:U2"/>
    <mergeCell ref="V2:W2"/>
    <mergeCell ref="B3:B4"/>
    <mergeCell ref="C3:E4"/>
    <mergeCell ref="F3:G4"/>
    <mergeCell ref="H3:J4"/>
    <mergeCell ref="K3:O4"/>
    <mergeCell ref="C5:E5"/>
    <mergeCell ref="F5:G5"/>
    <mergeCell ref="H5:J5"/>
    <mergeCell ref="K5:O5"/>
    <mergeCell ref="P5:S5"/>
    <mergeCell ref="T5:V5"/>
    <mergeCell ref="W5:Y5"/>
    <mergeCell ref="K22:L22"/>
    <mergeCell ref="U22:V22"/>
    <mergeCell ref="U25:V25"/>
    <mergeCell ref="X25:X28"/>
    <mergeCell ref="U26:V26"/>
    <mergeCell ref="U27:V27"/>
    <mergeCell ref="K25:L25"/>
    <mergeCell ref="K26:L26"/>
    <mergeCell ref="M26:N26"/>
    <mergeCell ref="O26:P26"/>
    <mergeCell ref="Q26:R26"/>
    <mergeCell ref="S26:T26"/>
    <mergeCell ref="K27:L27"/>
    <mergeCell ref="M27:N27"/>
    <mergeCell ref="O27:P27"/>
    <mergeCell ref="Q27:R27"/>
    <mergeCell ref="S27:T27"/>
    <mergeCell ref="Q28:R28"/>
    <mergeCell ref="S28:T28"/>
    <mergeCell ref="M28:N28"/>
    <mergeCell ref="O28:P28"/>
    <mergeCell ref="U28:V28"/>
    <mergeCell ref="S22:T22"/>
    <mergeCell ref="Q23:R23"/>
    <mergeCell ref="S23:T23"/>
    <mergeCell ref="U23:V23"/>
    <mergeCell ref="Q24:R24"/>
    <mergeCell ref="S24:T24"/>
    <mergeCell ref="U24:V24"/>
    <mergeCell ref="Y20:Y24"/>
    <mergeCell ref="X22:X24"/>
    <mergeCell ref="Q21:R21"/>
    <mergeCell ref="S21:T21"/>
    <mergeCell ref="U21:V21"/>
    <mergeCell ref="B52:J52"/>
    <mergeCell ref="B53:J53"/>
    <mergeCell ref="C54:D54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M21:N21"/>
    <mergeCell ref="O21:P21"/>
    <mergeCell ref="M22:N22"/>
    <mergeCell ref="O22:P22"/>
    <mergeCell ref="K23:L23"/>
    <mergeCell ref="M23:N23"/>
    <mergeCell ref="O23:P23"/>
    <mergeCell ref="K24:L24"/>
    <mergeCell ref="M24:N24"/>
    <mergeCell ref="O24:P24"/>
    <mergeCell ref="Q22:R22"/>
    <mergeCell ref="B7:C8"/>
    <mergeCell ref="E7:G7"/>
    <mergeCell ref="H7:H8"/>
    <mergeCell ref="I7:I8"/>
    <mergeCell ref="J7:J8"/>
    <mergeCell ref="F8:G8"/>
    <mergeCell ref="B9:C33"/>
    <mergeCell ref="B34:G34"/>
    <mergeCell ref="F38:G38"/>
    <mergeCell ref="B35:C42"/>
    <mergeCell ref="D31:D33"/>
    <mergeCell ref="F31:G31"/>
    <mergeCell ref="D35:E36"/>
    <mergeCell ref="F35:G35"/>
    <mergeCell ref="F36:G36"/>
    <mergeCell ref="F37:G37"/>
    <mergeCell ref="F42:G42"/>
    <mergeCell ref="F27:G27"/>
    <mergeCell ref="D7:D8"/>
    <mergeCell ref="D9:D11"/>
    <mergeCell ref="D22:D24"/>
    <mergeCell ref="F22:G22"/>
    <mergeCell ref="F23:G23"/>
    <mergeCell ref="F24:G24"/>
    <mergeCell ref="B47:G47"/>
    <mergeCell ref="F48:J48"/>
    <mergeCell ref="F40:G40"/>
    <mergeCell ref="F41:G41"/>
    <mergeCell ref="B45:G46"/>
    <mergeCell ref="H45:H46"/>
    <mergeCell ref="I45:I46"/>
    <mergeCell ref="J45:J46"/>
    <mergeCell ref="B48:E51"/>
    <mergeCell ref="B43:B44"/>
    <mergeCell ref="F43:G43"/>
    <mergeCell ref="F49:J49"/>
    <mergeCell ref="F50:J50"/>
    <mergeCell ref="F51:J51"/>
    <mergeCell ref="W42:X42"/>
    <mergeCell ref="W35:X35"/>
    <mergeCell ref="Y35:Y44"/>
    <mergeCell ref="W36:X36"/>
    <mergeCell ref="W37:X37"/>
    <mergeCell ref="W38:X38"/>
    <mergeCell ref="W39:X39"/>
    <mergeCell ref="W40:X40"/>
    <mergeCell ref="W43:X44"/>
    <mergeCell ref="U37:V37"/>
    <mergeCell ref="K39:L39"/>
    <mergeCell ref="K40:L40"/>
    <mergeCell ref="M40:N40"/>
    <mergeCell ref="O40:P40"/>
    <mergeCell ref="Q40:R40"/>
    <mergeCell ref="S40:T40"/>
    <mergeCell ref="U40:V40"/>
    <mergeCell ref="W41:X41"/>
    <mergeCell ref="Q37:R37"/>
    <mergeCell ref="S37:T37"/>
    <mergeCell ref="Q38:R38"/>
    <mergeCell ref="S38:T38"/>
    <mergeCell ref="U38:V38"/>
    <mergeCell ref="Q39:R39"/>
    <mergeCell ref="S39:T39"/>
    <mergeCell ref="U39:V39"/>
    <mergeCell ref="M37:N37"/>
    <mergeCell ref="O37:P37"/>
    <mergeCell ref="K38:L38"/>
    <mergeCell ref="M38:N38"/>
    <mergeCell ref="O38:P38"/>
    <mergeCell ref="M39:N39"/>
    <mergeCell ref="O39:P39"/>
    <mergeCell ref="M35:N35"/>
    <mergeCell ref="O35:P35"/>
    <mergeCell ref="Q35:R35"/>
    <mergeCell ref="S35:T35"/>
    <mergeCell ref="U35:V35"/>
    <mergeCell ref="K36:L36"/>
    <mergeCell ref="M36:N36"/>
    <mergeCell ref="O36:P36"/>
    <mergeCell ref="Q36:R36"/>
    <mergeCell ref="S36:T36"/>
    <mergeCell ref="U36:V36"/>
    <mergeCell ref="F44:G44"/>
    <mergeCell ref="K29:L29"/>
    <mergeCell ref="K30:L30"/>
    <mergeCell ref="K31:L31"/>
    <mergeCell ref="F32:G32"/>
    <mergeCell ref="K32:L32"/>
    <mergeCell ref="F33:G33"/>
    <mergeCell ref="K33:L33"/>
    <mergeCell ref="K34:L34"/>
    <mergeCell ref="K35:L35"/>
    <mergeCell ref="K37:L37"/>
    <mergeCell ref="K44:L44"/>
    <mergeCell ref="F29:G29"/>
    <mergeCell ref="F39:G39"/>
    <mergeCell ref="O44:P44"/>
    <mergeCell ref="Q44:R44"/>
    <mergeCell ref="S44:T44"/>
    <mergeCell ref="U44:V44"/>
    <mergeCell ref="K43:L43"/>
    <mergeCell ref="M43:N43"/>
    <mergeCell ref="O43:P43"/>
    <mergeCell ref="Q43:R43"/>
    <mergeCell ref="S43:T43"/>
    <mergeCell ref="U43:V43"/>
    <mergeCell ref="M44:N44"/>
    <mergeCell ref="M34:N34"/>
    <mergeCell ref="M30:N30"/>
    <mergeCell ref="O30:P30"/>
    <mergeCell ref="M31:N31"/>
    <mergeCell ref="O31:P31"/>
    <mergeCell ref="M32:N32"/>
    <mergeCell ref="O32:P32"/>
    <mergeCell ref="O33:P33"/>
    <mergeCell ref="O34:P34"/>
    <mergeCell ref="Q34:R34"/>
    <mergeCell ref="S34:T34"/>
    <mergeCell ref="U34:V34"/>
    <mergeCell ref="W34:X34"/>
    <mergeCell ref="Q30:R30"/>
    <mergeCell ref="S30:T30"/>
    <mergeCell ref="Q31:R31"/>
    <mergeCell ref="S31:T31"/>
    <mergeCell ref="U31:V31"/>
    <mergeCell ref="Q32:R32"/>
    <mergeCell ref="S32:T32"/>
    <mergeCell ref="Y29:Y30"/>
    <mergeCell ref="U30:V30"/>
    <mergeCell ref="X31:X33"/>
    <mergeCell ref="Y31:Y33"/>
    <mergeCell ref="U32:V32"/>
    <mergeCell ref="U33:V33"/>
    <mergeCell ref="F28:G28"/>
    <mergeCell ref="K28:L28"/>
    <mergeCell ref="M29:N29"/>
    <mergeCell ref="O29:P29"/>
    <mergeCell ref="Q29:R29"/>
    <mergeCell ref="S29:T29"/>
    <mergeCell ref="F30:G30"/>
    <mergeCell ref="Q33:R33"/>
    <mergeCell ref="S33:T33"/>
    <mergeCell ref="M33:N33"/>
    <mergeCell ref="Y25:Y28"/>
    <mergeCell ref="D25:D28"/>
    <mergeCell ref="F25:G25"/>
    <mergeCell ref="M25:N25"/>
    <mergeCell ref="O25:P25"/>
    <mergeCell ref="Q25:R25"/>
    <mergeCell ref="S25:T25"/>
    <mergeCell ref="F26:G26"/>
    <mergeCell ref="U29:V29"/>
    <mergeCell ref="W29:X30"/>
    <mergeCell ref="D29:D30"/>
    <mergeCell ref="F21:G21"/>
    <mergeCell ref="K21:L21"/>
    <mergeCell ref="D18:D21"/>
    <mergeCell ref="F18:G18"/>
    <mergeCell ref="S18:T18"/>
    <mergeCell ref="U18:V18"/>
    <mergeCell ref="Y18:Y19"/>
    <mergeCell ref="F19:G19"/>
    <mergeCell ref="U20:V20"/>
    <mergeCell ref="X18:X19"/>
    <mergeCell ref="X20:X21"/>
    <mergeCell ref="K19:L19"/>
    <mergeCell ref="M19:N19"/>
    <mergeCell ref="K17:L17"/>
    <mergeCell ref="K18:L18"/>
    <mergeCell ref="M18:N18"/>
    <mergeCell ref="O18:P18"/>
    <mergeCell ref="Q18:R18"/>
    <mergeCell ref="D15:D17"/>
    <mergeCell ref="F15:G15"/>
    <mergeCell ref="F16:G16"/>
    <mergeCell ref="F17:G17"/>
    <mergeCell ref="M17:N17"/>
    <mergeCell ref="O17:P17"/>
    <mergeCell ref="Q17:R17"/>
    <mergeCell ref="D12:D14"/>
    <mergeCell ref="F12:G12"/>
    <mergeCell ref="M12:N12"/>
    <mergeCell ref="O12:P12"/>
    <mergeCell ref="Q12:R12"/>
    <mergeCell ref="Q13:R13"/>
    <mergeCell ref="M16:N16"/>
    <mergeCell ref="O16:P16"/>
    <mergeCell ref="K12:L12"/>
    <mergeCell ref="K13:L13"/>
    <mergeCell ref="K15:L15"/>
    <mergeCell ref="M15:N15"/>
    <mergeCell ref="O15:P15"/>
    <mergeCell ref="Q15:R15"/>
    <mergeCell ref="K16:L16"/>
    <mergeCell ref="Q16:R16"/>
    <mergeCell ref="M13:N13"/>
    <mergeCell ref="O13:P13"/>
    <mergeCell ref="F13:G13"/>
    <mergeCell ref="F14:G14"/>
    <mergeCell ref="K14:L14"/>
    <mergeCell ref="M14:N14"/>
    <mergeCell ref="O14:P14"/>
    <mergeCell ref="Q14:R14"/>
    <mergeCell ref="F11:G11"/>
    <mergeCell ref="S16:T16"/>
    <mergeCell ref="U16:V16"/>
    <mergeCell ref="S17:T17"/>
    <mergeCell ref="U17:V17"/>
    <mergeCell ref="S9:T9"/>
    <mergeCell ref="U9:V9"/>
    <mergeCell ref="Y9:Y17"/>
    <mergeCell ref="U10:V10"/>
    <mergeCell ref="U11:V11"/>
    <mergeCell ref="U12:V12"/>
    <mergeCell ref="X15:X17"/>
    <mergeCell ref="S11:T11"/>
    <mergeCell ref="S12:T12"/>
    <mergeCell ref="X9:X11"/>
    <mergeCell ref="X12:X14"/>
    <mergeCell ref="S13:T13"/>
    <mergeCell ref="U13:V13"/>
    <mergeCell ref="S14:T14"/>
    <mergeCell ref="U14:V14"/>
    <mergeCell ref="S15:T15"/>
    <mergeCell ref="U15:V15"/>
    <mergeCell ref="S10:T10"/>
    <mergeCell ref="K9:L9"/>
    <mergeCell ref="M9:N9"/>
    <mergeCell ref="O9:P9"/>
    <mergeCell ref="Q9:R9"/>
    <mergeCell ref="M11:N11"/>
    <mergeCell ref="O11:P11"/>
    <mergeCell ref="F9:G9"/>
    <mergeCell ref="F10:G10"/>
    <mergeCell ref="K10:L10"/>
    <mergeCell ref="M10:N10"/>
    <mergeCell ref="O10:P10"/>
    <mergeCell ref="Q10:R10"/>
    <mergeCell ref="K11:L11"/>
    <mergeCell ref="Q11:R11"/>
    <mergeCell ref="O7:R7"/>
    <mergeCell ref="S7:V7"/>
    <mergeCell ref="W7:X8"/>
    <mergeCell ref="Y7:Y8"/>
    <mergeCell ref="O8:P8"/>
    <mergeCell ref="Q8:R8"/>
    <mergeCell ref="S8:T8"/>
    <mergeCell ref="U8:V8"/>
    <mergeCell ref="K7:N7"/>
    <mergeCell ref="K8:L8"/>
    <mergeCell ref="M8:N8"/>
  </mergeCells>
  <phoneticPr fontId="36" type="noConversion"/>
  <printOptions horizontalCentered="1" gridLines="1"/>
  <pageMargins left="0.25" right="0.25" top="0.75" bottom="0.75" header="0" footer="0"/>
  <pageSetup paperSize="12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7"/>
  <sheetViews>
    <sheetView workbookViewId="0">
      <selection activeCell="I22" sqref="I22"/>
    </sheetView>
  </sheetViews>
  <sheetFormatPr defaultColWidth="12.6640625" defaultRowHeight="15.75" customHeight="1"/>
  <cols>
    <col min="1" max="1" width="2.21875" customWidth="1"/>
    <col min="2" max="2" width="13.44140625" customWidth="1"/>
    <col min="3" max="3" width="5" customWidth="1"/>
    <col min="4" max="4" width="22.77734375" customWidth="1"/>
    <col min="5" max="5" width="17.21875" customWidth="1"/>
    <col min="6" max="6" width="7" customWidth="1"/>
    <col min="7" max="7" width="8.109375" customWidth="1"/>
    <col min="8" max="19" width="6.44140625" customWidth="1"/>
    <col min="20" max="20" width="7.88671875" customWidth="1"/>
    <col min="21" max="21" width="7.109375" customWidth="1"/>
    <col min="22" max="22" width="15.6640625" customWidth="1"/>
    <col min="23" max="23" width="18.77734375" customWidth="1"/>
  </cols>
  <sheetData>
    <row r="1" spans="1:26" ht="13.8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  <c r="Y1" s="107"/>
      <c r="Z1" s="107"/>
    </row>
    <row r="2" spans="1:26" ht="13.8">
      <c r="A2" s="106"/>
      <c r="B2" s="493" t="s">
        <v>133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106"/>
      <c r="W2" s="106"/>
      <c r="X2" s="107"/>
      <c r="Y2" s="107"/>
      <c r="Z2" s="107"/>
    </row>
    <row r="3" spans="1:26" ht="13.8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494" t="s">
        <v>3</v>
      </c>
      <c r="O3" s="257"/>
      <c r="P3" s="270"/>
      <c r="Q3" s="495" t="s">
        <v>8</v>
      </c>
      <c r="R3" s="257"/>
      <c r="S3" s="270"/>
      <c r="T3" s="495" t="s">
        <v>1</v>
      </c>
      <c r="U3" s="258"/>
      <c r="V3" s="106"/>
      <c r="W3" s="106"/>
      <c r="X3" s="107"/>
      <c r="Y3" s="107"/>
      <c r="Z3" s="107"/>
    </row>
    <row r="4" spans="1:26" ht="13.8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282" t="s">
        <v>51</v>
      </c>
      <c r="O4" s="380"/>
      <c r="P4" s="266"/>
      <c r="Q4" s="423" t="s">
        <v>54</v>
      </c>
      <c r="R4" s="380"/>
      <c r="S4" s="266"/>
      <c r="T4" s="423">
        <v>2027</v>
      </c>
      <c r="U4" s="268"/>
      <c r="V4" s="106"/>
      <c r="W4" s="106"/>
      <c r="X4" s="107"/>
      <c r="Y4" s="107"/>
      <c r="Z4" s="107"/>
    </row>
    <row r="5" spans="1:26" ht="13.8">
      <c r="A5" s="106"/>
      <c r="B5" s="499"/>
      <c r="C5" s="307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7"/>
      <c r="Y5" s="107"/>
      <c r="Z5" s="107"/>
    </row>
    <row r="6" spans="1:26" ht="13.8">
      <c r="A6" s="106"/>
      <c r="B6" s="500" t="s">
        <v>134</v>
      </c>
      <c r="C6" s="497" t="s">
        <v>22</v>
      </c>
      <c r="D6" s="497" t="s">
        <v>135</v>
      </c>
      <c r="E6" s="497" t="s">
        <v>136</v>
      </c>
      <c r="F6" s="497" t="s">
        <v>137</v>
      </c>
      <c r="G6" s="497" t="s">
        <v>138</v>
      </c>
      <c r="H6" s="496" t="s">
        <v>23</v>
      </c>
      <c r="I6" s="257"/>
      <c r="J6" s="257"/>
      <c r="K6" s="270"/>
      <c r="L6" s="496" t="s">
        <v>24</v>
      </c>
      <c r="M6" s="257"/>
      <c r="N6" s="257"/>
      <c r="O6" s="270"/>
      <c r="P6" s="496" t="s">
        <v>25</v>
      </c>
      <c r="Q6" s="257"/>
      <c r="R6" s="257"/>
      <c r="S6" s="270"/>
      <c r="T6" s="497" t="s">
        <v>139</v>
      </c>
      <c r="U6" s="498" t="s">
        <v>140</v>
      </c>
      <c r="V6" s="106"/>
      <c r="W6" s="106"/>
      <c r="X6" s="107"/>
      <c r="Y6" s="107"/>
      <c r="Z6" s="107"/>
    </row>
    <row r="7" spans="1:26" ht="13.8">
      <c r="A7" s="106"/>
      <c r="B7" s="392"/>
      <c r="C7" s="481"/>
      <c r="D7" s="481"/>
      <c r="E7" s="481"/>
      <c r="F7" s="481"/>
      <c r="G7" s="481"/>
      <c r="H7" s="483" t="s">
        <v>30</v>
      </c>
      <c r="I7" s="279"/>
      <c r="J7" s="483" t="s">
        <v>31</v>
      </c>
      <c r="K7" s="279"/>
      <c r="L7" s="483" t="s">
        <v>30</v>
      </c>
      <c r="M7" s="279"/>
      <c r="N7" s="483" t="s">
        <v>31</v>
      </c>
      <c r="O7" s="279"/>
      <c r="P7" s="483" t="s">
        <v>30</v>
      </c>
      <c r="Q7" s="279"/>
      <c r="R7" s="483" t="s">
        <v>31</v>
      </c>
      <c r="S7" s="279"/>
      <c r="T7" s="481"/>
      <c r="U7" s="284"/>
      <c r="V7" s="106"/>
      <c r="W7" s="106"/>
      <c r="X7" s="107"/>
      <c r="Y7" s="107"/>
      <c r="Z7" s="107"/>
    </row>
    <row r="8" spans="1:26" ht="27.6">
      <c r="A8" s="106"/>
      <c r="B8" s="385"/>
      <c r="C8" s="370"/>
      <c r="D8" s="370"/>
      <c r="E8" s="370"/>
      <c r="F8" s="370"/>
      <c r="G8" s="370"/>
      <c r="H8" s="108" t="s">
        <v>132</v>
      </c>
      <c r="I8" s="108" t="s">
        <v>141</v>
      </c>
      <c r="J8" s="108" t="s">
        <v>132</v>
      </c>
      <c r="K8" s="108" t="s">
        <v>141</v>
      </c>
      <c r="L8" s="108" t="s">
        <v>132</v>
      </c>
      <c r="M8" s="108" t="s">
        <v>141</v>
      </c>
      <c r="N8" s="108" t="s">
        <v>132</v>
      </c>
      <c r="O8" s="108" t="s">
        <v>141</v>
      </c>
      <c r="P8" s="108" t="s">
        <v>132</v>
      </c>
      <c r="Q8" s="108" t="s">
        <v>141</v>
      </c>
      <c r="R8" s="108" t="s">
        <v>132</v>
      </c>
      <c r="S8" s="108" t="s">
        <v>141</v>
      </c>
      <c r="T8" s="370"/>
      <c r="U8" s="285"/>
      <c r="V8" s="106"/>
      <c r="W8" s="106"/>
      <c r="X8" s="107"/>
      <c r="Y8" s="107"/>
      <c r="Z8" s="107"/>
    </row>
    <row r="9" spans="1:26" ht="27.6">
      <c r="A9" s="106"/>
      <c r="B9" s="486" t="s">
        <v>96</v>
      </c>
      <c r="C9" s="484">
        <v>9</v>
      </c>
      <c r="D9" s="109" t="s">
        <v>142</v>
      </c>
      <c r="E9" s="104" t="s">
        <v>143</v>
      </c>
      <c r="F9" s="104">
        <v>45</v>
      </c>
      <c r="G9" s="104">
        <v>2</v>
      </c>
      <c r="H9" s="104">
        <v>3</v>
      </c>
      <c r="I9" s="104">
        <v>48</v>
      </c>
      <c r="J9" s="110"/>
      <c r="K9" s="110"/>
      <c r="L9" s="111"/>
      <c r="M9" s="111"/>
      <c r="N9" s="111"/>
      <c r="O9" s="111"/>
      <c r="P9" s="111"/>
      <c r="Q9" s="111"/>
      <c r="R9" s="111"/>
      <c r="S9" s="111"/>
      <c r="T9" s="112">
        <v>3</v>
      </c>
      <c r="U9" s="113">
        <v>48</v>
      </c>
      <c r="V9" s="106"/>
      <c r="W9" s="106"/>
      <c r="X9" s="107"/>
      <c r="Y9" s="107"/>
      <c r="Z9" s="107"/>
    </row>
    <row r="10" spans="1:26" ht="27.6">
      <c r="A10" s="106"/>
      <c r="B10" s="392"/>
      <c r="C10" s="481"/>
      <c r="D10" s="114" t="s">
        <v>144</v>
      </c>
      <c r="E10" s="92" t="s">
        <v>145</v>
      </c>
      <c r="F10" s="114">
        <v>50</v>
      </c>
      <c r="G10" s="114">
        <v>3</v>
      </c>
      <c r="H10" s="114">
        <v>3</v>
      </c>
      <c r="I10" s="114">
        <v>48</v>
      </c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97">
        <v>3</v>
      </c>
      <c r="U10" s="116">
        <v>48</v>
      </c>
      <c r="V10" s="106"/>
      <c r="W10" s="106"/>
      <c r="X10" s="107"/>
      <c r="Y10" s="107"/>
      <c r="Z10" s="107"/>
    </row>
    <row r="11" spans="1:26" ht="27.6">
      <c r="A11" s="106"/>
      <c r="B11" s="392"/>
      <c r="C11" s="481"/>
      <c r="D11" s="96" t="s">
        <v>146</v>
      </c>
      <c r="E11" s="114" t="s">
        <v>147</v>
      </c>
      <c r="F11" s="92">
        <v>50</v>
      </c>
      <c r="G11" s="92">
        <v>4</v>
      </c>
      <c r="H11" s="117"/>
      <c r="I11" s="117"/>
      <c r="J11" s="92">
        <v>3</v>
      </c>
      <c r="K11" s="92">
        <v>48</v>
      </c>
      <c r="L11" s="115"/>
      <c r="M11" s="115"/>
      <c r="N11" s="115"/>
      <c r="O11" s="115"/>
      <c r="P11" s="115"/>
      <c r="Q11" s="115"/>
      <c r="R11" s="115"/>
      <c r="S11" s="115"/>
      <c r="T11" s="97">
        <v>3</v>
      </c>
      <c r="U11" s="116">
        <v>48</v>
      </c>
      <c r="V11" s="106"/>
      <c r="W11" s="106"/>
      <c r="X11" s="107"/>
      <c r="Y11" s="107"/>
      <c r="Z11" s="107"/>
    </row>
    <row r="12" spans="1:26" ht="13.8">
      <c r="A12" s="106"/>
      <c r="B12" s="385"/>
      <c r="C12" s="370"/>
      <c r="D12" s="485" t="s">
        <v>148</v>
      </c>
      <c r="E12" s="266"/>
      <c r="F12" s="118"/>
      <c r="G12" s="118"/>
      <c r="H12" s="119">
        <v>6</v>
      </c>
      <c r="I12" s="119">
        <v>96</v>
      </c>
      <c r="J12" s="119">
        <v>3</v>
      </c>
      <c r="K12" s="119">
        <v>48</v>
      </c>
      <c r="L12" s="118"/>
      <c r="M12" s="118"/>
      <c r="N12" s="118"/>
      <c r="O12" s="118"/>
      <c r="P12" s="118"/>
      <c r="Q12" s="118"/>
      <c r="R12" s="118"/>
      <c r="S12" s="118"/>
      <c r="T12" s="119">
        <v>9</v>
      </c>
      <c r="U12" s="120">
        <v>144</v>
      </c>
      <c r="V12" s="106"/>
      <c r="W12" s="106"/>
      <c r="X12" s="107"/>
      <c r="Y12" s="107"/>
      <c r="Z12" s="107"/>
    </row>
    <row r="13" spans="1:26" ht="27.6">
      <c r="A13" s="106"/>
      <c r="B13" s="486" t="s">
        <v>97</v>
      </c>
      <c r="C13" s="484">
        <v>9</v>
      </c>
      <c r="D13" s="121" t="s">
        <v>149</v>
      </c>
      <c r="E13" s="122" t="s">
        <v>150</v>
      </c>
      <c r="F13" s="123">
        <v>20</v>
      </c>
      <c r="G13" s="123">
        <v>3</v>
      </c>
      <c r="H13" s="104">
        <v>3</v>
      </c>
      <c r="I13" s="104">
        <v>48</v>
      </c>
      <c r="J13" s="110"/>
      <c r="K13" s="110"/>
      <c r="L13" s="111"/>
      <c r="M13" s="111"/>
      <c r="N13" s="111"/>
      <c r="O13" s="111"/>
      <c r="P13" s="111"/>
      <c r="Q13" s="111"/>
      <c r="R13" s="111"/>
      <c r="S13" s="111"/>
      <c r="T13" s="112">
        <v>3</v>
      </c>
      <c r="U13" s="113">
        <v>48</v>
      </c>
      <c r="V13" s="106"/>
      <c r="W13" s="106"/>
      <c r="X13" s="107"/>
      <c r="Y13" s="107"/>
      <c r="Z13" s="107"/>
    </row>
    <row r="14" spans="1:26" ht="27.6">
      <c r="A14" s="106"/>
      <c r="B14" s="392"/>
      <c r="C14" s="481"/>
      <c r="D14" s="124" t="s">
        <v>151</v>
      </c>
      <c r="E14" s="125" t="s">
        <v>152</v>
      </c>
      <c r="F14" s="126">
        <v>20</v>
      </c>
      <c r="G14" s="126">
        <v>4</v>
      </c>
      <c r="H14" s="127"/>
      <c r="I14" s="127"/>
      <c r="J14" s="114">
        <v>3</v>
      </c>
      <c r="K14" s="114">
        <v>48</v>
      </c>
      <c r="L14" s="115"/>
      <c r="M14" s="115"/>
      <c r="N14" s="115"/>
      <c r="O14" s="115"/>
      <c r="P14" s="115"/>
      <c r="Q14" s="115"/>
      <c r="R14" s="115"/>
      <c r="S14" s="115"/>
      <c r="T14" s="97">
        <v>3</v>
      </c>
      <c r="U14" s="116">
        <v>48</v>
      </c>
      <c r="V14" s="106"/>
      <c r="W14" s="106"/>
      <c r="X14" s="107"/>
      <c r="Y14" s="107"/>
      <c r="Z14" s="107"/>
    </row>
    <row r="15" spans="1:26" ht="13.8">
      <c r="A15" s="106"/>
      <c r="B15" s="392"/>
      <c r="C15" s="481"/>
      <c r="D15" s="124" t="s">
        <v>153</v>
      </c>
      <c r="E15" s="125" t="s">
        <v>154</v>
      </c>
      <c r="F15" s="128">
        <v>40</v>
      </c>
      <c r="G15" s="128">
        <v>4</v>
      </c>
      <c r="H15" s="115"/>
      <c r="I15" s="115"/>
      <c r="J15" s="92">
        <v>3</v>
      </c>
      <c r="K15" s="92">
        <v>48</v>
      </c>
      <c r="L15" s="115"/>
      <c r="M15" s="115"/>
      <c r="N15" s="115"/>
      <c r="O15" s="115"/>
      <c r="P15" s="115"/>
      <c r="Q15" s="115"/>
      <c r="R15" s="115"/>
      <c r="S15" s="115"/>
      <c r="T15" s="97">
        <v>3</v>
      </c>
      <c r="U15" s="116">
        <v>48</v>
      </c>
      <c r="V15" s="106"/>
      <c r="W15" s="106"/>
      <c r="X15" s="107"/>
      <c r="Y15" s="107"/>
      <c r="Z15" s="107"/>
    </row>
    <row r="16" spans="1:26" ht="13.8">
      <c r="A16" s="106"/>
      <c r="B16" s="385"/>
      <c r="C16" s="370"/>
      <c r="D16" s="485" t="s">
        <v>148</v>
      </c>
      <c r="E16" s="266"/>
      <c r="F16" s="118"/>
      <c r="G16" s="118"/>
      <c r="H16" s="119">
        <v>3</v>
      </c>
      <c r="I16" s="119">
        <v>48</v>
      </c>
      <c r="J16" s="119">
        <v>6</v>
      </c>
      <c r="K16" s="119">
        <v>96</v>
      </c>
      <c r="L16" s="118"/>
      <c r="M16" s="118"/>
      <c r="N16" s="118"/>
      <c r="O16" s="118"/>
      <c r="P16" s="118"/>
      <c r="Q16" s="118"/>
      <c r="R16" s="118"/>
      <c r="S16" s="118"/>
      <c r="T16" s="119">
        <v>9</v>
      </c>
      <c r="U16" s="120">
        <v>144</v>
      </c>
      <c r="V16" s="106"/>
      <c r="W16" s="106"/>
      <c r="X16" s="107"/>
      <c r="Y16" s="107"/>
      <c r="Z16" s="107"/>
    </row>
    <row r="17" spans="1:26" ht="27.6">
      <c r="A17" s="106"/>
      <c r="B17" s="486" t="s">
        <v>98</v>
      </c>
      <c r="C17" s="484">
        <v>12</v>
      </c>
      <c r="D17" s="112" t="s">
        <v>155</v>
      </c>
      <c r="E17" s="109" t="s">
        <v>156</v>
      </c>
      <c r="F17" s="109">
        <v>40</v>
      </c>
      <c r="G17" s="109">
        <v>2</v>
      </c>
      <c r="H17" s="111"/>
      <c r="I17" s="111"/>
      <c r="J17" s="111"/>
      <c r="K17" s="111"/>
      <c r="L17" s="109">
        <v>3</v>
      </c>
      <c r="M17" s="109">
        <v>48</v>
      </c>
      <c r="N17" s="111"/>
      <c r="O17" s="111"/>
      <c r="P17" s="111"/>
      <c r="Q17" s="111"/>
      <c r="R17" s="111"/>
      <c r="S17" s="111"/>
      <c r="T17" s="109">
        <v>3</v>
      </c>
      <c r="U17" s="129">
        <v>48</v>
      </c>
      <c r="V17" s="130" t="s">
        <v>157</v>
      </c>
      <c r="W17" s="131" t="s">
        <v>158</v>
      </c>
      <c r="X17" s="98"/>
      <c r="Y17" s="98"/>
      <c r="Z17" s="98"/>
    </row>
    <row r="18" spans="1:26" ht="27.6">
      <c r="A18" s="106"/>
      <c r="B18" s="392"/>
      <c r="C18" s="481"/>
      <c r="D18" s="97" t="s">
        <v>159</v>
      </c>
      <c r="E18" s="114" t="s">
        <v>160</v>
      </c>
      <c r="F18" s="114">
        <v>45</v>
      </c>
      <c r="G18" s="114">
        <v>2</v>
      </c>
      <c r="H18" s="115"/>
      <c r="I18" s="115"/>
      <c r="J18" s="115"/>
      <c r="K18" s="115"/>
      <c r="L18" s="126">
        <v>4</v>
      </c>
      <c r="M18" s="126">
        <v>64</v>
      </c>
      <c r="N18" s="115"/>
      <c r="O18" s="115"/>
      <c r="P18" s="115"/>
      <c r="Q18" s="115"/>
      <c r="R18" s="115"/>
      <c r="S18" s="115"/>
      <c r="T18" s="126">
        <v>4</v>
      </c>
      <c r="U18" s="132">
        <v>64</v>
      </c>
      <c r="V18" s="130" t="s">
        <v>155</v>
      </c>
      <c r="W18" s="131" t="s">
        <v>156</v>
      </c>
      <c r="X18" s="98"/>
      <c r="Y18" s="98"/>
      <c r="Z18" s="98"/>
    </row>
    <row r="19" spans="1:26" ht="27.6">
      <c r="A19" s="106"/>
      <c r="B19" s="392"/>
      <c r="C19" s="481"/>
      <c r="D19" s="97" t="s">
        <v>157</v>
      </c>
      <c r="E19" s="114" t="s">
        <v>158</v>
      </c>
      <c r="F19" s="114">
        <v>40</v>
      </c>
      <c r="G19" s="114">
        <v>2</v>
      </c>
      <c r="H19" s="115"/>
      <c r="I19" s="115"/>
      <c r="J19" s="115"/>
      <c r="K19" s="115"/>
      <c r="L19" s="115"/>
      <c r="M19" s="115"/>
      <c r="N19" s="114">
        <v>3</v>
      </c>
      <c r="O19" s="114">
        <v>48</v>
      </c>
      <c r="P19" s="115"/>
      <c r="Q19" s="115"/>
      <c r="R19" s="115"/>
      <c r="S19" s="115"/>
      <c r="T19" s="97">
        <v>3</v>
      </c>
      <c r="U19" s="116">
        <v>48</v>
      </c>
      <c r="V19" s="130" t="s">
        <v>159</v>
      </c>
      <c r="W19" s="131" t="s">
        <v>160</v>
      </c>
      <c r="X19" s="98"/>
      <c r="Y19" s="98"/>
      <c r="Z19" s="98"/>
    </row>
    <row r="20" spans="1:26" ht="27.6">
      <c r="A20" s="106"/>
      <c r="B20" s="392"/>
      <c r="C20" s="481"/>
      <c r="D20" s="97" t="s">
        <v>161</v>
      </c>
      <c r="E20" s="114" t="s">
        <v>162</v>
      </c>
      <c r="F20" s="114">
        <v>20</v>
      </c>
      <c r="G20" s="114">
        <v>4</v>
      </c>
      <c r="H20" s="115"/>
      <c r="I20" s="115"/>
      <c r="J20" s="115"/>
      <c r="K20" s="115"/>
      <c r="L20" s="115"/>
      <c r="M20" s="115"/>
      <c r="N20" s="114">
        <v>2</v>
      </c>
      <c r="O20" s="114">
        <v>32</v>
      </c>
      <c r="P20" s="115"/>
      <c r="Q20" s="115"/>
      <c r="R20" s="115"/>
      <c r="S20" s="115"/>
      <c r="T20" s="97">
        <v>2</v>
      </c>
      <c r="U20" s="116">
        <v>32</v>
      </c>
      <c r="V20" s="130" t="s">
        <v>161</v>
      </c>
      <c r="W20" s="131" t="s">
        <v>162</v>
      </c>
      <c r="X20" s="98"/>
      <c r="Y20" s="98"/>
      <c r="Z20" s="98"/>
    </row>
    <row r="21" spans="1:26" ht="13.8">
      <c r="A21" s="106"/>
      <c r="B21" s="385"/>
      <c r="C21" s="370"/>
      <c r="D21" s="485" t="s">
        <v>148</v>
      </c>
      <c r="E21" s="266"/>
      <c r="F21" s="118"/>
      <c r="G21" s="118"/>
      <c r="H21" s="118"/>
      <c r="I21" s="118"/>
      <c r="J21" s="118"/>
      <c r="K21" s="118"/>
      <c r="L21" s="119">
        <f t="shared" ref="L21:M21" si="0">SUM(L17:L20)</f>
        <v>7</v>
      </c>
      <c r="M21" s="119">
        <f t="shared" si="0"/>
        <v>112</v>
      </c>
      <c r="N21" s="119">
        <v>5</v>
      </c>
      <c r="O21" s="119">
        <v>80</v>
      </c>
      <c r="P21" s="118"/>
      <c r="Q21" s="118"/>
      <c r="R21" s="118"/>
      <c r="S21" s="118"/>
      <c r="T21" s="119">
        <f t="shared" ref="T21:U21" si="1">SUM(T17:T20)</f>
        <v>12</v>
      </c>
      <c r="U21" s="120">
        <f t="shared" si="1"/>
        <v>192</v>
      </c>
      <c r="V21" s="133" t="s">
        <v>163</v>
      </c>
      <c r="W21" s="106"/>
      <c r="X21" s="107"/>
      <c r="Y21" s="107"/>
      <c r="Z21" s="107"/>
    </row>
    <row r="22" spans="1:26" ht="27.6">
      <c r="A22" s="106"/>
      <c r="B22" s="486" t="s">
        <v>100</v>
      </c>
      <c r="C22" s="484">
        <v>12</v>
      </c>
      <c r="D22" s="134" t="s">
        <v>164</v>
      </c>
      <c r="E22" s="122" t="s">
        <v>165</v>
      </c>
      <c r="F22" s="121">
        <v>30</v>
      </c>
      <c r="G22" s="121">
        <v>3</v>
      </c>
      <c r="H22" s="110"/>
      <c r="I22" s="110"/>
      <c r="J22" s="110"/>
      <c r="K22" s="110"/>
      <c r="L22" s="123">
        <v>4</v>
      </c>
      <c r="M22" s="123">
        <v>64</v>
      </c>
      <c r="N22" s="110"/>
      <c r="O22" s="110"/>
      <c r="P22" s="111"/>
      <c r="Q22" s="111"/>
      <c r="R22" s="111"/>
      <c r="S22" s="111"/>
      <c r="T22" s="123">
        <v>4</v>
      </c>
      <c r="U22" s="135">
        <v>64</v>
      </c>
      <c r="V22" s="136" t="s">
        <v>166</v>
      </c>
      <c r="W22" s="137" t="s">
        <v>167</v>
      </c>
      <c r="X22" s="107"/>
      <c r="Y22" s="107"/>
      <c r="Z22" s="107"/>
    </row>
    <row r="23" spans="1:26" ht="13.8">
      <c r="A23" s="106"/>
      <c r="B23" s="392"/>
      <c r="C23" s="481"/>
      <c r="D23" s="138" t="s">
        <v>168</v>
      </c>
      <c r="E23" s="125" t="s">
        <v>169</v>
      </c>
      <c r="F23" s="126">
        <v>20</v>
      </c>
      <c r="G23" s="126">
        <v>4</v>
      </c>
      <c r="H23" s="115"/>
      <c r="I23" s="115"/>
      <c r="J23" s="115"/>
      <c r="K23" s="115"/>
      <c r="L23" s="114">
        <v>3</v>
      </c>
      <c r="M23" s="114">
        <v>48</v>
      </c>
      <c r="N23" s="115"/>
      <c r="O23" s="115"/>
      <c r="P23" s="115"/>
      <c r="Q23" s="115"/>
      <c r="R23" s="115"/>
      <c r="S23" s="115"/>
      <c r="T23" s="114">
        <v>3</v>
      </c>
      <c r="U23" s="139">
        <v>48</v>
      </c>
      <c r="V23" s="136" t="s">
        <v>170</v>
      </c>
      <c r="W23" s="137" t="s">
        <v>171</v>
      </c>
      <c r="X23" s="107"/>
      <c r="Y23" s="107"/>
      <c r="Z23" s="107"/>
    </row>
    <row r="24" spans="1:26" ht="13.8">
      <c r="A24" s="106"/>
      <c r="B24" s="392"/>
      <c r="C24" s="481"/>
      <c r="D24" s="138" t="s">
        <v>172</v>
      </c>
      <c r="E24" s="125" t="s">
        <v>173</v>
      </c>
      <c r="F24" s="126">
        <v>20</v>
      </c>
      <c r="G24" s="126">
        <v>3</v>
      </c>
      <c r="H24" s="115"/>
      <c r="I24" s="115"/>
      <c r="J24" s="115"/>
      <c r="K24" s="115"/>
      <c r="L24" s="115"/>
      <c r="M24" s="115"/>
      <c r="N24" s="114">
        <v>2</v>
      </c>
      <c r="O24" s="114">
        <v>32</v>
      </c>
      <c r="P24" s="115"/>
      <c r="Q24" s="115"/>
      <c r="R24" s="115"/>
      <c r="S24" s="115"/>
      <c r="T24" s="114">
        <v>2</v>
      </c>
      <c r="U24" s="139">
        <v>32</v>
      </c>
      <c r="V24" s="136" t="s">
        <v>174</v>
      </c>
      <c r="W24" s="137" t="s">
        <v>175</v>
      </c>
      <c r="X24" s="107"/>
      <c r="Y24" s="107"/>
      <c r="Z24" s="107"/>
    </row>
    <row r="25" spans="1:26" ht="13.8">
      <c r="A25" s="106"/>
      <c r="B25" s="392"/>
      <c r="C25" s="481"/>
      <c r="D25" s="138" t="s">
        <v>176</v>
      </c>
      <c r="E25" s="125" t="s">
        <v>177</v>
      </c>
      <c r="F25" s="114">
        <v>40</v>
      </c>
      <c r="G25" s="126">
        <v>4</v>
      </c>
      <c r="H25" s="115"/>
      <c r="I25" s="115"/>
      <c r="J25" s="115"/>
      <c r="K25" s="115"/>
      <c r="L25" s="115"/>
      <c r="M25" s="115"/>
      <c r="N25" s="114">
        <v>3</v>
      </c>
      <c r="O25" s="114">
        <v>48</v>
      </c>
      <c r="P25" s="115"/>
      <c r="Q25" s="115"/>
      <c r="R25" s="115"/>
      <c r="S25" s="115"/>
      <c r="T25" s="114">
        <v>3</v>
      </c>
      <c r="U25" s="139">
        <v>48</v>
      </c>
      <c r="V25" s="136" t="s">
        <v>178</v>
      </c>
      <c r="W25" s="137" t="s">
        <v>179</v>
      </c>
      <c r="X25" s="107"/>
      <c r="Y25" s="107"/>
      <c r="Z25" s="107"/>
    </row>
    <row r="26" spans="1:26" ht="13.8">
      <c r="A26" s="106"/>
      <c r="B26" s="385"/>
      <c r="C26" s="370"/>
      <c r="D26" s="485" t="s">
        <v>148</v>
      </c>
      <c r="E26" s="266"/>
      <c r="F26" s="118"/>
      <c r="G26" s="118"/>
      <c r="H26" s="118"/>
      <c r="I26" s="118"/>
      <c r="J26" s="118"/>
      <c r="K26" s="118"/>
      <c r="L26" s="140">
        <v>7</v>
      </c>
      <c r="M26" s="119">
        <f>SUM(M22:M25)</f>
        <v>112</v>
      </c>
      <c r="N26" s="119">
        <v>5</v>
      </c>
      <c r="O26" s="119">
        <v>80</v>
      </c>
      <c r="P26" s="118"/>
      <c r="Q26" s="118"/>
      <c r="R26" s="118"/>
      <c r="S26" s="118"/>
      <c r="T26" s="119">
        <f t="shared" ref="T26:U26" si="2">SUM(T22:T25)</f>
        <v>12</v>
      </c>
      <c r="U26" s="120">
        <f t="shared" si="2"/>
        <v>192</v>
      </c>
      <c r="V26" s="133" t="s">
        <v>180</v>
      </c>
      <c r="W26" s="106"/>
      <c r="X26" s="107"/>
      <c r="Y26" s="107"/>
      <c r="Z26" s="107"/>
    </row>
    <row r="27" spans="1:26" ht="27.6">
      <c r="A27" s="106"/>
      <c r="B27" s="486" t="s">
        <v>126</v>
      </c>
      <c r="C27" s="484">
        <v>8</v>
      </c>
      <c r="D27" s="99" t="s">
        <v>181</v>
      </c>
      <c r="E27" s="104" t="s">
        <v>182</v>
      </c>
      <c r="F27" s="104">
        <v>20</v>
      </c>
      <c r="G27" s="104">
        <v>2</v>
      </c>
      <c r="H27" s="110"/>
      <c r="I27" s="110"/>
      <c r="J27" s="110"/>
      <c r="K27" s="110"/>
      <c r="L27" s="110"/>
      <c r="M27" s="110"/>
      <c r="N27" s="110"/>
      <c r="O27" s="110"/>
      <c r="P27" s="109">
        <v>2</v>
      </c>
      <c r="Q27" s="109">
        <v>32</v>
      </c>
      <c r="R27" s="111"/>
      <c r="S27" s="111"/>
      <c r="T27" s="112">
        <v>2</v>
      </c>
      <c r="U27" s="113">
        <v>32</v>
      </c>
      <c r="V27" s="106"/>
      <c r="W27" s="106"/>
      <c r="X27" s="107"/>
      <c r="Y27" s="107"/>
      <c r="Z27" s="107"/>
    </row>
    <row r="28" spans="1:26" ht="27.6">
      <c r="A28" s="106"/>
      <c r="B28" s="392"/>
      <c r="C28" s="481"/>
      <c r="D28" s="95" t="s">
        <v>183</v>
      </c>
      <c r="E28" s="92" t="s">
        <v>184</v>
      </c>
      <c r="F28" s="114">
        <v>15</v>
      </c>
      <c r="G28" s="114">
        <v>2</v>
      </c>
      <c r="H28" s="141"/>
      <c r="I28" s="141"/>
      <c r="J28" s="141"/>
      <c r="K28" s="141"/>
      <c r="L28" s="141"/>
      <c r="M28" s="141"/>
      <c r="N28" s="141"/>
      <c r="O28" s="141"/>
      <c r="P28" s="114">
        <v>2</v>
      </c>
      <c r="Q28" s="114">
        <v>32</v>
      </c>
      <c r="R28" s="115"/>
      <c r="S28" s="115"/>
      <c r="T28" s="97">
        <v>2</v>
      </c>
      <c r="U28" s="116">
        <v>32</v>
      </c>
      <c r="V28" s="106"/>
      <c r="W28" s="106"/>
      <c r="X28" s="107"/>
      <c r="Y28" s="107"/>
      <c r="Z28" s="107"/>
    </row>
    <row r="29" spans="1:26" ht="27.6">
      <c r="A29" s="106"/>
      <c r="B29" s="392"/>
      <c r="C29" s="481"/>
      <c r="D29" s="94" t="s">
        <v>185</v>
      </c>
      <c r="E29" s="105" t="s">
        <v>186</v>
      </c>
      <c r="F29" s="105">
        <v>50</v>
      </c>
      <c r="G29" s="105">
        <v>4</v>
      </c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93">
        <v>4</v>
      </c>
      <c r="S29" s="93">
        <v>64</v>
      </c>
      <c r="T29" s="93">
        <v>4</v>
      </c>
      <c r="U29" s="142">
        <v>64</v>
      </c>
      <c r="V29" s="106"/>
      <c r="W29" s="106"/>
      <c r="X29" s="107"/>
      <c r="Y29" s="107"/>
      <c r="Z29" s="107"/>
    </row>
    <row r="30" spans="1:26" ht="13.8">
      <c r="A30" s="106"/>
      <c r="B30" s="385"/>
      <c r="C30" s="370"/>
      <c r="D30" s="485" t="s">
        <v>148</v>
      </c>
      <c r="E30" s="266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9">
        <v>4</v>
      </c>
      <c r="Q30" s="119">
        <v>64</v>
      </c>
      <c r="R30" s="119">
        <v>4</v>
      </c>
      <c r="S30" s="119">
        <v>64</v>
      </c>
      <c r="T30" s="143">
        <v>8</v>
      </c>
      <c r="U30" s="144">
        <v>128</v>
      </c>
      <c r="V30" s="106"/>
      <c r="W30" s="106"/>
      <c r="X30" s="107"/>
      <c r="Y30" s="107"/>
      <c r="Z30" s="107"/>
    </row>
    <row r="31" spans="1:26" ht="27.6">
      <c r="A31" s="106"/>
      <c r="B31" s="486" t="s">
        <v>102</v>
      </c>
      <c r="C31" s="484">
        <v>3</v>
      </c>
      <c r="D31" s="112" t="s">
        <v>187</v>
      </c>
      <c r="E31" s="109" t="s">
        <v>188</v>
      </c>
      <c r="F31" s="109">
        <v>40</v>
      </c>
      <c r="G31" s="112">
        <v>3</v>
      </c>
      <c r="H31" s="111"/>
      <c r="I31" s="111"/>
      <c r="J31" s="111"/>
      <c r="K31" s="111"/>
      <c r="L31" s="111"/>
      <c r="M31" s="111"/>
      <c r="N31" s="111"/>
      <c r="O31" s="111"/>
      <c r="P31" s="109">
        <v>3</v>
      </c>
      <c r="Q31" s="109">
        <v>48</v>
      </c>
      <c r="R31" s="111"/>
      <c r="S31" s="111"/>
      <c r="T31" s="109">
        <v>3</v>
      </c>
      <c r="U31" s="129">
        <v>48</v>
      </c>
      <c r="V31" s="106"/>
      <c r="W31" s="106"/>
      <c r="X31" s="107"/>
      <c r="Y31" s="107"/>
      <c r="Z31" s="107"/>
    </row>
    <row r="32" spans="1:26" ht="13.8">
      <c r="A32" s="106"/>
      <c r="B32" s="385"/>
      <c r="C32" s="370"/>
      <c r="D32" s="485" t="s">
        <v>148</v>
      </c>
      <c r="E32" s="266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9">
        <v>3</v>
      </c>
      <c r="Q32" s="119">
        <v>48</v>
      </c>
      <c r="R32" s="118"/>
      <c r="S32" s="118"/>
      <c r="T32" s="119">
        <v>3</v>
      </c>
      <c r="U32" s="120">
        <v>48</v>
      </c>
      <c r="V32" s="106"/>
      <c r="W32" s="106"/>
      <c r="X32" s="107"/>
      <c r="Y32" s="107"/>
      <c r="Z32" s="107"/>
    </row>
    <row r="33" spans="1:26" ht="13.8">
      <c r="A33" s="106"/>
      <c r="B33" s="486" t="s">
        <v>103</v>
      </c>
      <c r="C33" s="484">
        <v>3</v>
      </c>
      <c r="D33" s="145" t="s">
        <v>189</v>
      </c>
      <c r="E33" s="146" t="s">
        <v>190</v>
      </c>
      <c r="F33" s="109">
        <v>20</v>
      </c>
      <c r="G33" s="109">
        <v>2</v>
      </c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09">
        <v>3</v>
      </c>
      <c r="S33" s="109">
        <v>48</v>
      </c>
      <c r="T33" s="109">
        <v>3</v>
      </c>
      <c r="U33" s="129">
        <v>48</v>
      </c>
      <c r="V33" s="106"/>
      <c r="W33" s="106"/>
      <c r="X33" s="107"/>
      <c r="Y33" s="107"/>
      <c r="Z33" s="107"/>
    </row>
    <row r="34" spans="1:26" ht="13.8">
      <c r="A34" s="106"/>
      <c r="B34" s="385"/>
      <c r="C34" s="370"/>
      <c r="D34" s="485" t="s">
        <v>148</v>
      </c>
      <c r="E34" s="266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9">
        <v>3</v>
      </c>
      <c r="S34" s="119">
        <v>48</v>
      </c>
      <c r="T34" s="119">
        <v>3</v>
      </c>
      <c r="U34" s="120">
        <v>48</v>
      </c>
      <c r="V34" s="106"/>
      <c r="W34" s="106"/>
      <c r="X34" s="107"/>
      <c r="Y34" s="107"/>
      <c r="Z34" s="107"/>
    </row>
    <row r="35" spans="1:26" ht="13.8">
      <c r="A35" s="106"/>
      <c r="B35" s="486" t="s">
        <v>191</v>
      </c>
      <c r="C35" s="484">
        <v>12</v>
      </c>
      <c r="D35" s="146" t="s">
        <v>192</v>
      </c>
      <c r="E35" s="146" t="s">
        <v>193</v>
      </c>
      <c r="F35" s="111">
        <v>50</v>
      </c>
      <c r="G35" s="111">
        <v>2</v>
      </c>
      <c r="H35" s="111"/>
      <c r="I35" s="111"/>
      <c r="J35" s="111"/>
      <c r="K35" s="111"/>
      <c r="L35" s="111"/>
      <c r="M35" s="111"/>
      <c r="N35" s="111"/>
      <c r="O35" s="111"/>
      <c r="P35" s="109">
        <v>3</v>
      </c>
      <c r="Q35" s="109">
        <v>48</v>
      </c>
      <c r="R35" s="111"/>
      <c r="S35" s="111"/>
      <c r="T35" s="112">
        <v>3</v>
      </c>
      <c r="U35" s="113">
        <v>48</v>
      </c>
      <c r="V35" s="106"/>
      <c r="W35" s="106"/>
      <c r="X35" s="107"/>
      <c r="Y35" s="107"/>
      <c r="Z35" s="107"/>
    </row>
    <row r="36" spans="1:26" ht="27.6">
      <c r="A36" s="106"/>
      <c r="B36" s="392"/>
      <c r="C36" s="481"/>
      <c r="D36" s="97" t="s">
        <v>194</v>
      </c>
      <c r="E36" s="114" t="s">
        <v>195</v>
      </c>
      <c r="F36" s="115">
        <v>50</v>
      </c>
      <c r="G36" s="115">
        <v>4</v>
      </c>
      <c r="H36" s="115"/>
      <c r="I36" s="115"/>
      <c r="J36" s="115"/>
      <c r="K36" s="115"/>
      <c r="L36" s="115"/>
      <c r="M36" s="115"/>
      <c r="N36" s="115"/>
      <c r="O36" s="115"/>
      <c r="P36" s="114">
        <v>3</v>
      </c>
      <c r="Q36" s="114">
        <v>48</v>
      </c>
      <c r="R36" s="115"/>
      <c r="S36" s="115"/>
      <c r="T36" s="97">
        <v>3</v>
      </c>
      <c r="U36" s="116">
        <v>48</v>
      </c>
      <c r="V36" s="106"/>
      <c r="W36" s="106"/>
      <c r="X36" s="107"/>
      <c r="Y36" s="107"/>
      <c r="Z36" s="107"/>
    </row>
    <row r="37" spans="1:26" ht="27.6">
      <c r="A37" s="106"/>
      <c r="B37" s="392"/>
      <c r="C37" s="481"/>
      <c r="D37" s="97" t="s">
        <v>196</v>
      </c>
      <c r="E37" s="114" t="s">
        <v>197</v>
      </c>
      <c r="F37" s="115">
        <v>50</v>
      </c>
      <c r="G37" s="115">
        <v>3</v>
      </c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4">
        <v>3</v>
      </c>
      <c r="S37" s="114">
        <v>48</v>
      </c>
      <c r="T37" s="97">
        <v>3</v>
      </c>
      <c r="U37" s="116">
        <v>48</v>
      </c>
      <c r="V37" s="106"/>
      <c r="W37" s="106"/>
      <c r="X37" s="107"/>
      <c r="Y37" s="107"/>
      <c r="Z37" s="107"/>
    </row>
    <row r="38" spans="1:26" ht="27.6">
      <c r="A38" s="106"/>
      <c r="B38" s="392"/>
      <c r="C38" s="481"/>
      <c r="D38" s="97" t="s">
        <v>198</v>
      </c>
      <c r="E38" s="114" t="s">
        <v>199</v>
      </c>
      <c r="F38" s="115">
        <v>50</v>
      </c>
      <c r="G38" s="115">
        <v>2</v>
      </c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4">
        <v>3</v>
      </c>
      <c r="S38" s="114">
        <v>48</v>
      </c>
      <c r="T38" s="97">
        <v>3</v>
      </c>
      <c r="U38" s="116">
        <v>48</v>
      </c>
      <c r="V38" s="106"/>
      <c r="W38" s="106"/>
      <c r="X38" s="107"/>
      <c r="Y38" s="107"/>
      <c r="Z38" s="107"/>
    </row>
    <row r="39" spans="1:26" ht="13.8">
      <c r="A39" s="106"/>
      <c r="B39" s="385"/>
      <c r="C39" s="370"/>
      <c r="D39" s="485" t="s">
        <v>148</v>
      </c>
      <c r="E39" s="266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9">
        <v>6</v>
      </c>
      <c r="Q39" s="119">
        <v>96</v>
      </c>
      <c r="R39" s="119">
        <v>6</v>
      </c>
      <c r="S39" s="119">
        <v>96</v>
      </c>
      <c r="T39" s="119">
        <v>12</v>
      </c>
      <c r="U39" s="120">
        <v>192</v>
      </c>
      <c r="V39" s="106"/>
      <c r="W39" s="106"/>
      <c r="X39" s="107"/>
      <c r="Y39" s="107"/>
      <c r="Z39" s="107"/>
    </row>
    <row r="40" spans="1:26" ht="27.6">
      <c r="A40" s="106"/>
      <c r="B40" s="486" t="s">
        <v>200</v>
      </c>
      <c r="C40" s="484">
        <v>12</v>
      </c>
      <c r="D40" s="104" t="s">
        <v>201</v>
      </c>
      <c r="E40" s="104" t="s">
        <v>202</v>
      </c>
      <c r="F40" s="104">
        <v>20</v>
      </c>
      <c r="G40" s="104">
        <v>2</v>
      </c>
      <c r="H40" s="111"/>
      <c r="I40" s="111"/>
      <c r="J40" s="111"/>
      <c r="K40" s="111"/>
      <c r="L40" s="111"/>
      <c r="M40" s="111"/>
      <c r="N40" s="111"/>
      <c r="O40" s="111"/>
      <c r="P40" s="109">
        <v>3</v>
      </c>
      <c r="Q40" s="109">
        <v>48</v>
      </c>
      <c r="R40" s="111"/>
      <c r="S40" s="111"/>
      <c r="T40" s="112">
        <v>3</v>
      </c>
      <c r="U40" s="113">
        <v>48</v>
      </c>
      <c r="V40" s="106"/>
      <c r="W40" s="106"/>
      <c r="X40" s="107"/>
      <c r="Y40" s="107"/>
      <c r="Z40" s="107"/>
    </row>
    <row r="41" spans="1:26" ht="27.6">
      <c r="A41" s="106"/>
      <c r="B41" s="392"/>
      <c r="C41" s="481"/>
      <c r="D41" s="97" t="s">
        <v>203</v>
      </c>
      <c r="E41" s="114" t="s">
        <v>204</v>
      </c>
      <c r="F41" s="114">
        <v>30</v>
      </c>
      <c r="G41" s="114">
        <v>3</v>
      </c>
      <c r="H41" s="115"/>
      <c r="I41" s="115"/>
      <c r="J41" s="115"/>
      <c r="K41" s="115"/>
      <c r="L41" s="115"/>
      <c r="M41" s="115"/>
      <c r="N41" s="115"/>
      <c r="O41" s="115"/>
      <c r="P41" s="114">
        <v>3</v>
      </c>
      <c r="Q41" s="114">
        <v>48</v>
      </c>
      <c r="R41" s="115"/>
      <c r="S41" s="115"/>
      <c r="T41" s="97">
        <v>3</v>
      </c>
      <c r="U41" s="116">
        <v>48</v>
      </c>
      <c r="V41" s="106"/>
      <c r="W41" s="106"/>
      <c r="X41" s="107"/>
      <c r="Y41" s="107"/>
      <c r="Z41" s="107"/>
    </row>
    <row r="42" spans="1:26" ht="27.6">
      <c r="A42" s="106"/>
      <c r="B42" s="392"/>
      <c r="C42" s="481"/>
      <c r="D42" s="97" t="s">
        <v>205</v>
      </c>
      <c r="E42" s="114" t="s">
        <v>206</v>
      </c>
      <c r="F42" s="114">
        <v>30</v>
      </c>
      <c r="G42" s="114">
        <v>3</v>
      </c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4">
        <v>3</v>
      </c>
      <c r="S42" s="114">
        <v>48</v>
      </c>
      <c r="T42" s="97">
        <v>3</v>
      </c>
      <c r="U42" s="116">
        <v>48</v>
      </c>
      <c r="V42" s="106"/>
      <c r="W42" s="106"/>
      <c r="X42" s="107"/>
      <c r="Y42" s="107"/>
      <c r="Z42" s="107"/>
    </row>
    <row r="43" spans="1:26" ht="27.6">
      <c r="A43" s="106"/>
      <c r="B43" s="392"/>
      <c r="C43" s="481"/>
      <c r="D43" s="97" t="s">
        <v>207</v>
      </c>
      <c r="E43" s="114" t="s">
        <v>208</v>
      </c>
      <c r="F43" s="114">
        <v>30</v>
      </c>
      <c r="G43" s="114">
        <v>2</v>
      </c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4">
        <v>3</v>
      </c>
      <c r="S43" s="114">
        <v>48</v>
      </c>
      <c r="T43" s="97">
        <v>3</v>
      </c>
      <c r="U43" s="116">
        <v>48</v>
      </c>
      <c r="V43" s="106"/>
      <c r="W43" s="106"/>
      <c r="X43" s="107"/>
      <c r="Y43" s="107"/>
      <c r="Z43" s="107"/>
    </row>
    <row r="44" spans="1:26" ht="13.8">
      <c r="A44" s="106"/>
      <c r="B44" s="385"/>
      <c r="C44" s="370"/>
      <c r="D44" s="485" t="s">
        <v>148</v>
      </c>
      <c r="E44" s="266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9">
        <v>6</v>
      </c>
      <c r="Q44" s="119">
        <v>96</v>
      </c>
      <c r="R44" s="119">
        <v>6</v>
      </c>
      <c r="S44" s="119">
        <v>96</v>
      </c>
      <c r="T44" s="119">
        <v>12</v>
      </c>
      <c r="U44" s="120">
        <v>192</v>
      </c>
      <c r="V44" s="106"/>
      <c r="W44" s="106"/>
      <c r="X44" s="107"/>
      <c r="Y44" s="107"/>
      <c r="Z44" s="107"/>
    </row>
    <row r="45" spans="1:26" ht="27.6">
      <c r="A45" s="106"/>
      <c r="B45" s="486" t="s">
        <v>209</v>
      </c>
      <c r="C45" s="484">
        <v>14</v>
      </c>
      <c r="D45" s="112" t="s">
        <v>210</v>
      </c>
      <c r="E45" s="109" t="s">
        <v>211</v>
      </c>
      <c r="F45" s="109">
        <v>40</v>
      </c>
      <c r="G45" s="109">
        <v>3</v>
      </c>
      <c r="H45" s="111"/>
      <c r="I45" s="111"/>
      <c r="J45" s="111"/>
      <c r="K45" s="111"/>
      <c r="L45" s="111"/>
      <c r="M45" s="111"/>
      <c r="N45" s="111"/>
      <c r="O45" s="111"/>
      <c r="P45" s="109">
        <v>2</v>
      </c>
      <c r="Q45" s="109">
        <v>32</v>
      </c>
      <c r="R45" s="111"/>
      <c r="S45" s="111"/>
      <c r="T45" s="112">
        <v>2</v>
      </c>
      <c r="U45" s="113">
        <v>32</v>
      </c>
      <c r="V45" s="106"/>
      <c r="W45" s="106"/>
      <c r="X45" s="107"/>
      <c r="Y45" s="107"/>
      <c r="Z45" s="107"/>
    </row>
    <row r="46" spans="1:26" ht="27.6">
      <c r="A46" s="106"/>
      <c r="B46" s="392"/>
      <c r="C46" s="481"/>
      <c r="D46" s="97" t="s">
        <v>212</v>
      </c>
      <c r="E46" s="114" t="s">
        <v>213</v>
      </c>
      <c r="F46" s="114">
        <v>50</v>
      </c>
      <c r="G46" s="114">
        <v>3</v>
      </c>
      <c r="H46" s="115"/>
      <c r="I46" s="115"/>
      <c r="J46" s="115"/>
      <c r="K46" s="115"/>
      <c r="L46" s="115"/>
      <c r="M46" s="115"/>
      <c r="N46" s="115"/>
      <c r="O46" s="115"/>
      <c r="P46" s="114">
        <v>2</v>
      </c>
      <c r="Q46" s="114">
        <v>32</v>
      </c>
      <c r="R46" s="115"/>
      <c r="S46" s="115"/>
      <c r="T46" s="97">
        <v>2</v>
      </c>
      <c r="U46" s="116">
        <v>32</v>
      </c>
      <c r="V46" s="106"/>
      <c r="W46" s="106"/>
      <c r="X46" s="107"/>
      <c r="Y46" s="107"/>
      <c r="Z46" s="107"/>
    </row>
    <row r="47" spans="1:26" ht="27.6">
      <c r="A47" s="106"/>
      <c r="B47" s="392"/>
      <c r="C47" s="481"/>
      <c r="D47" s="97" t="s">
        <v>214</v>
      </c>
      <c r="E47" s="114" t="s">
        <v>215</v>
      </c>
      <c r="F47" s="114">
        <v>40</v>
      </c>
      <c r="G47" s="114">
        <v>3</v>
      </c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4">
        <v>5</v>
      </c>
      <c r="S47" s="114">
        <v>80</v>
      </c>
      <c r="T47" s="97">
        <v>5</v>
      </c>
      <c r="U47" s="116">
        <v>80</v>
      </c>
      <c r="V47" s="106"/>
      <c r="W47" s="106"/>
      <c r="X47" s="107"/>
      <c r="Y47" s="107"/>
      <c r="Z47" s="107"/>
    </row>
    <row r="48" spans="1:26" ht="27.6">
      <c r="A48" s="106"/>
      <c r="B48" s="392"/>
      <c r="C48" s="481"/>
      <c r="D48" s="114" t="s">
        <v>216</v>
      </c>
      <c r="E48" s="114" t="s">
        <v>217</v>
      </c>
      <c r="F48" s="114">
        <v>50</v>
      </c>
      <c r="G48" s="114">
        <v>4</v>
      </c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4">
        <v>5</v>
      </c>
      <c r="S48" s="114">
        <v>80</v>
      </c>
      <c r="T48" s="97">
        <v>5</v>
      </c>
      <c r="U48" s="116">
        <v>80</v>
      </c>
      <c r="V48" s="106"/>
      <c r="W48" s="106"/>
      <c r="X48" s="107"/>
      <c r="Y48" s="107"/>
      <c r="Z48" s="107"/>
    </row>
    <row r="49" spans="1:26" ht="13.8">
      <c r="A49" s="106"/>
      <c r="B49" s="385"/>
      <c r="C49" s="370"/>
      <c r="D49" s="485" t="s">
        <v>148</v>
      </c>
      <c r="E49" s="266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9">
        <v>4</v>
      </c>
      <c r="Q49" s="119">
        <v>64</v>
      </c>
      <c r="R49" s="119">
        <v>10</v>
      </c>
      <c r="S49" s="119">
        <v>160</v>
      </c>
      <c r="T49" s="119">
        <v>14</v>
      </c>
      <c r="U49" s="120">
        <v>224</v>
      </c>
      <c r="V49" s="106"/>
      <c r="W49" s="106"/>
      <c r="X49" s="107"/>
      <c r="Y49" s="107"/>
      <c r="Z49" s="107"/>
    </row>
    <row r="50" spans="1:26" ht="27.6">
      <c r="A50" s="106"/>
      <c r="B50" s="489" t="s">
        <v>218</v>
      </c>
      <c r="C50" s="490">
        <v>16</v>
      </c>
      <c r="D50" s="147" t="s">
        <v>219</v>
      </c>
      <c r="E50" s="148" t="s">
        <v>220</v>
      </c>
      <c r="F50" s="149">
        <v>40</v>
      </c>
      <c r="G50" s="149">
        <v>3</v>
      </c>
      <c r="H50" s="150"/>
      <c r="I50" s="150"/>
      <c r="J50" s="150"/>
      <c r="K50" s="150"/>
      <c r="L50" s="150"/>
      <c r="M50" s="150"/>
      <c r="N50" s="150"/>
      <c r="O50" s="150"/>
      <c r="P50" s="151">
        <v>3</v>
      </c>
      <c r="Q50" s="151">
        <v>48</v>
      </c>
      <c r="R50" s="150"/>
      <c r="S50" s="150"/>
      <c r="T50" s="151">
        <v>3</v>
      </c>
      <c r="U50" s="152">
        <v>48</v>
      </c>
      <c r="V50" s="106"/>
      <c r="W50" s="106"/>
      <c r="X50" s="107"/>
      <c r="Y50" s="107"/>
      <c r="Z50" s="107"/>
    </row>
    <row r="51" spans="1:26" ht="27.6">
      <c r="A51" s="106"/>
      <c r="B51" s="392"/>
      <c r="C51" s="481"/>
      <c r="D51" s="153" t="s">
        <v>221</v>
      </c>
      <c r="E51" s="154" t="s">
        <v>222</v>
      </c>
      <c r="F51" s="155">
        <v>40</v>
      </c>
      <c r="G51" s="155">
        <v>3</v>
      </c>
      <c r="H51" s="156"/>
      <c r="I51" s="156"/>
      <c r="J51" s="156"/>
      <c r="K51" s="156"/>
      <c r="L51" s="156"/>
      <c r="M51" s="156"/>
      <c r="N51" s="156"/>
      <c r="O51" s="156"/>
      <c r="P51" s="157">
        <v>3</v>
      </c>
      <c r="Q51" s="157">
        <v>48</v>
      </c>
      <c r="R51" s="156"/>
      <c r="S51" s="156"/>
      <c r="T51" s="157">
        <v>3</v>
      </c>
      <c r="U51" s="158">
        <v>48</v>
      </c>
      <c r="V51" s="106"/>
      <c r="W51" s="106"/>
      <c r="X51" s="107"/>
      <c r="Y51" s="107"/>
      <c r="Z51" s="107"/>
    </row>
    <row r="52" spans="1:26" ht="27.6">
      <c r="A52" s="106"/>
      <c r="B52" s="392"/>
      <c r="C52" s="481"/>
      <c r="D52" s="153" t="s">
        <v>223</v>
      </c>
      <c r="E52" s="154" t="s">
        <v>224</v>
      </c>
      <c r="F52" s="155">
        <v>40</v>
      </c>
      <c r="G52" s="155">
        <v>3</v>
      </c>
      <c r="H52" s="156"/>
      <c r="I52" s="156"/>
      <c r="J52" s="156"/>
      <c r="K52" s="156"/>
      <c r="L52" s="156"/>
      <c r="M52" s="156"/>
      <c r="N52" s="156"/>
      <c r="O52" s="156"/>
      <c r="P52" s="159">
        <v>2</v>
      </c>
      <c r="Q52" s="159">
        <v>32</v>
      </c>
      <c r="R52" s="155"/>
      <c r="S52" s="155"/>
      <c r="T52" s="157">
        <v>2</v>
      </c>
      <c r="U52" s="160">
        <v>32</v>
      </c>
      <c r="V52" s="106"/>
      <c r="W52" s="106"/>
      <c r="X52" s="107"/>
      <c r="Y52" s="107"/>
      <c r="Z52" s="107"/>
    </row>
    <row r="53" spans="1:26" ht="21.75" customHeight="1">
      <c r="A53" s="106"/>
      <c r="B53" s="392"/>
      <c r="C53" s="481"/>
      <c r="D53" s="161" t="s">
        <v>225</v>
      </c>
      <c r="E53" s="162" t="s">
        <v>226</v>
      </c>
      <c r="F53" s="162">
        <v>30</v>
      </c>
      <c r="G53" s="162">
        <v>3</v>
      </c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5">
        <v>4</v>
      </c>
      <c r="S53" s="155">
        <v>64</v>
      </c>
      <c r="T53" s="155">
        <v>4</v>
      </c>
      <c r="U53" s="163">
        <v>64</v>
      </c>
      <c r="V53" s="106"/>
      <c r="W53" s="106"/>
      <c r="X53" s="107"/>
      <c r="Y53" s="107"/>
      <c r="Z53" s="107"/>
    </row>
    <row r="54" spans="1:26" ht="21.75" customHeight="1">
      <c r="A54" s="106"/>
      <c r="B54" s="392"/>
      <c r="C54" s="481"/>
      <c r="D54" s="164" t="s">
        <v>227</v>
      </c>
      <c r="E54" s="165" t="s">
        <v>228</v>
      </c>
      <c r="F54" s="165">
        <v>30</v>
      </c>
      <c r="G54" s="165">
        <v>5</v>
      </c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5">
        <v>4</v>
      </c>
      <c r="S54" s="155">
        <v>64</v>
      </c>
      <c r="T54" s="155">
        <v>4</v>
      </c>
      <c r="U54" s="163">
        <v>64</v>
      </c>
      <c r="V54" s="133" t="s">
        <v>229</v>
      </c>
      <c r="W54" s="106"/>
      <c r="X54" s="107"/>
      <c r="Y54" s="107"/>
      <c r="Z54" s="107"/>
    </row>
    <row r="55" spans="1:26" ht="13.8">
      <c r="A55" s="106"/>
      <c r="B55" s="385"/>
      <c r="C55" s="370"/>
      <c r="D55" s="491" t="s">
        <v>148</v>
      </c>
      <c r="E55" s="2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7">
        <f t="shared" ref="P55:Q55" si="3">SUM(P50:P53)</f>
        <v>8</v>
      </c>
      <c r="Q55" s="167">
        <f t="shared" si="3"/>
        <v>128</v>
      </c>
      <c r="R55" s="167">
        <f>SUM(R53:R54)</f>
        <v>8</v>
      </c>
      <c r="S55" s="167">
        <f>SUM(S50:S53)</f>
        <v>64</v>
      </c>
      <c r="T55" s="167">
        <f t="shared" ref="T55:U55" si="4">SUM(T50:T54)</f>
        <v>16</v>
      </c>
      <c r="U55" s="168">
        <f t="shared" si="4"/>
        <v>256</v>
      </c>
      <c r="V55" s="106"/>
      <c r="W55" s="106"/>
      <c r="X55" s="107"/>
      <c r="Y55" s="107"/>
      <c r="Z55" s="107"/>
    </row>
    <row r="56" spans="1:26" ht="13.8">
      <c r="A56" s="106"/>
      <c r="B56" s="492" t="s">
        <v>230</v>
      </c>
      <c r="C56" s="487">
        <v>16</v>
      </c>
      <c r="D56" s="169" t="s">
        <v>231</v>
      </c>
      <c r="E56" s="170" t="s">
        <v>232</v>
      </c>
      <c r="F56" s="171">
        <v>40</v>
      </c>
      <c r="G56" s="171">
        <v>3</v>
      </c>
      <c r="H56" s="172"/>
      <c r="I56" s="172"/>
      <c r="J56" s="172"/>
      <c r="K56" s="172"/>
      <c r="L56" s="172"/>
      <c r="M56" s="172"/>
      <c r="N56" s="172"/>
      <c r="O56" s="172"/>
      <c r="P56" s="171">
        <v>4</v>
      </c>
      <c r="Q56" s="171">
        <v>64</v>
      </c>
      <c r="R56" s="172"/>
      <c r="S56" s="172"/>
      <c r="T56" s="171">
        <v>4</v>
      </c>
      <c r="U56" s="173">
        <v>64</v>
      </c>
      <c r="V56" s="106"/>
      <c r="W56" s="106"/>
      <c r="X56" s="107"/>
      <c r="Y56" s="107"/>
      <c r="Z56" s="107"/>
    </row>
    <row r="57" spans="1:26" ht="27.6">
      <c r="A57" s="106"/>
      <c r="B57" s="392"/>
      <c r="C57" s="481"/>
      <c r="D57" s="174" t="s">
        <v>233</v>
      </c>
      <c r="E57" s="174" t="s">
        <v>234</v>
      </c>
      <c r="F57" s="174">
        <v>40</v>
      </c>
      <c r="G57" s="155">
        <v>3</v>
      </c>
      <c r="H57" s="156"/>
      <c r="I57" s="156"/>
      <c r="J57" s="156"/>
      <c r="K57" s="156"/>
      <c r="L57" s="156"/>
      <c r="M57" s="156"/>
      <c r="N57" s="156"/>
      <c r="O57" s="156"/>
      <c r="P57" s="155">
        <v>4</v>
      </c>
      <c r="Q57" s="155">
        <v>64</v>
      </c>
      <c r="R57" s="156"/>
      <c r="S57" s="156"/>
      <c r="T57" s="155">
        <v>4</v>
      </c>
      <c r="U57" s="163">
        <v>64</v>
      </c>
      <c r="V57" s="106"/>
      <c r="W57" s="106"/>
      <c r="X57" s="107"/>
      <c r="Y57" s="107"/>
      <c r="Z57" s="107"/>
    </row>
    <row r="58" spans="1:26" ht="13.8">
      <c r="A58" s="106"/>
      <c r="B58" s="392"/>
      <c r="C58" s="481"/>
      <c r="D58" s="174" t="s">
        <v>235</v>
      </c>
      <c r="E58" s="175" t="s">
        <v>236</v>
      </c>
      <c r="F58" s="155">
        <v>40</v>
      </c>
      <c r="G58" s="155">
        <v>4</v>
      </c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5">
        <v>4</v>
      </c>
      <c r="S58" s="155">
        <v>64</v>
      </c>
      <c r="T58" s="155">
        <v>4</v>
      </c>
      <c r="U58" s="163">
        <v>64</v>
      </c>
      <c r="V58" s="106"/>
      <c r="W58" s="106"/>
      <c r="X58" s="107"/>
      <c r="Y58" s="107"/>
      <c r="Z58" s="107"/>
    </row>
    <row r="59" spans="1:26" ht="13.8">
      <c r="A59" s="106"/>
      <c r="B59" s="392"/>
      <c r="C59" s="481"/>
      <c r="D59" s="174" t="s">
        <v>237</v>
      </c>
      <c r="E59" s="175" t="s">
        <v>238</v>
      </c>
      <c r="F59" s="155">
        <v>40</v>
      </c>
      <c r="G59" s="155">
        <v>3</v>
      </c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5">
        <v>4</v>
      </c>
      <c r="S59" s="155">
        <v>64</v>
      </c>
      <c r="T59" s="155">
        <v>4</v>
      </c>
      <c r="U59" s="163">
        <v>64</v>
      </c>
      <c r="V59" s="106"/>
      <c r="W59" s="106"/>
      <c r="X59" s="107"/>
      <c r="Y59" s="107"/>
      <c r="Z59" s="107"/>
    </row>
    <row r="60" spans="1:26" ht="13.8">
      <c r="A60" s="106"/>
      <c r="B60" s="392"/>
      <c r="C60" s="482"/>
      <c r="D60" s="488" t="s">
        <v>148</v>
      </c>
      <c r="E60" s="291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7">
        <f t="shared" ref="P60:U60" si="5">SUM(P56:P59)</f>
        <v>8</v>
      </c>
      <c r="Q60" s="177">
        <f t="shared" si="5"/>
        <v>128</v>
      </c>
      <c r="R60" s="177">
        <f t="shared" si="5"/>
        <v>8</v>
      </c>
      <c r="S60" s="177">
        <f t="shared" si="5"/>
        <v>128</v>
      </c>
      <c r="T60" s="177">
        <f t="shared" si="5"/>
        <v>16</v>
      </c>
      <c r="U60" s="178">
        <f t="shared" si="5"/>
        <v>256</v>
      </c>
      <c r="V60" s="106"/>
      <c r="W60" s="106"/>
      <c r="X60" s="107"/>
      <c r="Y60" s="107"/>
      <c r="Z60" s="107"/>
    </row>
    <row r="61" spans="1:26" ht="13.8">
      <c r="A61" s="106"/>
      <c r="B61" s="489" t="s">
        <v>239</v>
      </c>
      <c r="C61" s="490">
        <v>6</v>
      </c>
      <c r="D61" s="179" t="s">
        <v>240</v>
      </c>
      <c r="E61" s="180" t="s">
        <v>241</v>
      </c>
      <c r="F61" s="149">
        <v>40</v>
      </c>
      <c r="G61" s="149">
        <v>4</v>
      </c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81">
        <v>2</v>
      </c>
      <c r="S61" s="181">
        <v>32</v>
      </c>
      <c r="T61" s="181">
        <v>2</v>
      </c>
      <c r="U61" s="182">
        <v>32</v>
      </c>
      <c r="V61" s="106"/>
      <c r="W61" s="106"/>
      <c r="X61" s="107"/>
      <c r="Y61" s="107"/>
      <c r="Z61" s="107"/>
    </row>
    <row r="62" spans="1:26" ht="13.8">
      <c r="A62" s="106"/>
      <c r="B62" s="392"/>
      <c r="C62" s="481"/>
      <c r="D62" s="174" t="s">
        <v>242</v>
      </c>
      <c r="E62" s="183" t="s">
        <v>243</v>
      </c>
      <c r="F62" s="155">
        <v>50</v>
      </c>
      <c r="G62" s="155">
        <v>4</v>
      </c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9">
        <v>2</v>
      </c>
      <c r="S62" s="159">
        <v>32</v>
      </c>
      <c r="T62" s="159">
        <v>2</v>
      </c>
      <c r="U62" s="160">
        <v>32</v>
      </c>
      <c r="V62" s="106"/>
      <c r="W62" s="106"/>
      <c r="X62" s="107"/>
      <c r="Y62" s="107"/>
      <c r="Z62" s="107"/>
    </row>
    <row r="63" spans="1:26" ht="13.8">
      <c r="A63" s="106"/>
      <c r="B63" s="392"/>
      <c r="C63" s="481"/>
      <c r="D63" s="184" t="s">
        <v>244</v>
      </c>
      <c r="E63" s="185" t="s">
        <v>245</v>
      </c>
      <c r="F63" s="157">
        <v>50</v>
      </c>
      <c r="G63" s="157">
        <v>4</v>
      </c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9">
        <v>2</v>
      </c>
      <c r="S63" s="159">
        <v>32</v>
      </c>
      <c r="T63" s="159">
        <v>2</v>
      </c>
      <c r="U63" s="160">
        <v>32</v>
      </c>
      <c r="V63" s="133" t="s">
        <v>229</v>
      </c>
      <c r="W63" s="106"/>
      <c r="X63" s="107"/>
      <c r="Y63" s="107"/>
      <c r="Z63" s="107"/>
    </row>
    <row r="64" spans="1:26" ht="13.8">
      <c r="A64" s="106"/>
      <c r="B64" s="385"/>
      <c r="C64" s="370"/>
      <c r="D64" s="491" t="s">
        <v>148</v>
      </c>
      <c r="E64" s="2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7">
        <f t="shared" ref="R64:U64" si="6">SUM(R61:R63)</f>
        <v>6</v>
      </c>
      <c r="S64" s="167">
        <f t="shared" si="6"/>
        <v>96</v>
      </c>
      <c r="T64" s="167">
        <f t="shared" si="6"/>
        <v>6</v>
      </c>
      <c r="U64" s="168">
        <f t="shared" si="6"/>
        <v>96</v>
      </c>
      <c r="V64" s="106"/>
      <c r="W64" s="106"/>
      <c r="X64" s="107"/>
      <c r="Y64" s="107"/>
      <c r="Z64" s="107"/>
    </row>
    <row r="65" spans="1:26" ht="13.8">
      <c r="A65" s="106"/>
      <c r="B65" s="306" t="s">
        <v>121</v>
      </c>
      <c r="C65" s="307"/>
      <c r="D65" s="3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7"/>
      <c r="Y65" s="107"/>
      <c r="Z65" s="107"/>
    </row>
    <row r="66" spans="1:26" ht="13.8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7"/>
      <c r="Y66" s="107"/>
      <c r="Z66" s="107"/>
    </row>
    <row r="67" spans="1:26" ht="13.8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7"/>
      <c r="Y67" s="107"/>
      <c r="Z67" s="107"/>
    </row>
    <row r="68" spans="1:26" ht="13.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7"/>
      <c r="Y68" s="107"/>
      <c r="Z68" s="107"/>
    </row>
    <row r="69" spans="1:26" ht="13.8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7"/>
      <c r="Y69" s="107"/>
      <c r="Z69" s="107"/>
    </row>
    <row r="70" spans="1:26" ht="13.8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7"/>
      <c r="Y70" s="107"/>
      <c r="Z70" s="107"/>
    </row>
    <row r="71" spans="1:26" ht="13.8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7"/>
      <c r="Y71" s="107"/>
      <c r="Z71" s="107"/>
    </row>
    <row r="72" spans="1:26" ht="13.8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7"/>
      <c r="Y72" s="107"/>
      <c r="Z72" s="107"/>
    </row>
    <row r="73" spans="1:26" ht="13.8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7"/>
      <c r="Y73" s="107"/>
      <c r="Z73" s="107"/>
    </row>
    <row r="74" spans="1:26" ht="13.8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7"/>
      <c r="Y74" s="107"/>
      <c r="Z74" s="107"/>
    </row>
    <row r="75" spans="1:26" ht="13.8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7"/>
      <c r="Y75" s="107"/>
      <c r="Z75" s="107"/>
    </row>
    <row r="76" spans="1:26" ht="13.8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7"/>
      <c r="Y76" s="107"/>
      <c r="Z76" s="107"/>
    </row>
    <row r="77" spans="1:26" ht="13.8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7"/>
      <c r="Y77" s="107"/>
      <c r="Z77" s="107"/>
    </row>
    <row r="78" spans="1:26" ht="13.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7"/>
      <c r="Y78" s="107"/>
      <c r="Z78" s="107"/>
    </row>
    <row r="79" spans="1:26" ht="13.8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7"/>
      <c r="Y79" s="107"/>
      <c r="Z79" s="107"/>
    </row>
    <row r="80" spans="1:26" ht="13.8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7"/>
      <c r="Y80" s="107"/>
      <c r="Z80" s="107"/>
    </row>
    <row r="81" spans="1:26" ht="13.8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7"/>
      <c r="Y81" s="107"/>
      <c r="Z81" s="107"/>
    </row>
    <row r="82" spans="1:26" ht="13.8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7"/>
      <c r="Y82" s="107"/>
      <c r="Z82" s="107"/>
    </row>
    <row r="83" spans="1:26" ht="13.8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7"/>
      <c r="Y83" s="107"/>
      <c r="Z83" s="107"/>
    </row>
    <row r="84" spans="1:26" ht="13.8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7"/>
      <c r="Y84" s="107"/>
      <c r="Z84" s="107"/>
    </row>
    <row r="85" spans="1:26" ht="13.8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7"/>
      <c r="Y85" s="107"/>
      <c r="Z85" s="107"/>
    </row>
    <row r="86" spans="1:26" ht="13.8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7"/>
      <c r="Y86" s="107"/>
      <c r="Z86" s="107"/>
    </row>
    <row r="87" spans="1:26" ht="13.8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7"/>
      <c r="Y87" s="107"/>
      <c r="Z87" s="107"/>
    </row>
    <row r="88" spans="1:26" ht="13.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7"/>
      <c r="Y88" s="107"/>
      <c r="Z88" s="107"/>
    </row>
    <row r="89" spans="1:26" ht="13.8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7"/>
      <c r="Y89" s="107"/>
      <c r="Z89" s="107"/>
    </row>
    <row r="90" spans="1:26" ht="13.8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7"/>
      <c r="Y90" s="107"/>
      <c r="Z90" s="107"/>
    </row>
    <row r="91" spans="1:26" ht="13.8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7"/>
      <c r="Y91" s="107"/>
      <c r="Z91" s="107"/>
    </row>
    <row r="92" spans="1:26" ht="13.8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7"/>
      <c r="Y92" s="107"/>
      <c r="Z92" s="107"/>
    </row>
    <row r="93" spans="1:26" ht="13.8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7"/>
      <c r="Y93" s="107"/>
      <c r="Z93" s="107"/>
    </row>
    <row r="94" spans="1:26" ht="13.8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7"/>
      <c r="Y94" s="107"/>
      <c r="Z94" s="107"/>
    </row>
    <row r="95" spans="1:26" ht="13.8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7"/>
      <c r="Y95" s="107"/>
      <c r="Z95" s="107"/>
    </row>
    <row r="96" spans="1:26" ht="13.8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7"/>
      <c r="Y96" s="107"/>
      <c r="Z96" s="107"/>
    </row>
    <row r="97" spans="1:26" ht="13.8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7"/>
      <c r="Y97" s="107"/>
      <c r="Z97" s="107"/>
    </row>
    <row r="98" spans="1:26" ht="13.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7"/>
      <c r="Y98" s="107"/>
      <c r="Z98" s="107"/>
    </row>
    <row r="99" spans="1:26" ht="13.8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7"/>
      <c r="Y99" s="107"/>
      <c r="Z99" s="107"/>
    </row>
    <row r="100" spans="1:26" ht="13.8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7"/>
      <c r="Y100" s="107"/>
      <c r="Z100" s="107"/>
    </row>
    <row r="101" spans="1:26" ht="13.8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7"/>
      <c r="Y101" s="107"/>
      <c r="Z101" s="107"/>
    </row>
    <row r="102" spans="1:26" ht="13.8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7"/>
      <c r="Y102" s="107"/>
      <c r="Z102" s="107"/>
    </row>
    <row r="103" spans="1:26" ht="13.8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7"/>
      <c r="Y103" s="107"/>
      <c r="Z103" s="107"/>
    </row>
    <row r="104" spans="1:26" ht="13.8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7"/>
      <c r="Y104" s="107"/>
      <c r="Z104" s="107"/>
    </row>
    <row r="105" spans="1:26" ht="13.8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7"/>
      <c r="Y105" s="107"/>
      <c r="Z105" s="107"/>
    </row>
    <row r="106" spans="1:26" ht="13.8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7"/>
      <c r="Y106" s="107"/>
      <c r="Z106" s="107"/>
    </row>
    <row r="107" spans="1:26" ht="13.8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7"/>
      <c r="Y107" s="107"/>
      <c r="Z107" s="107"/>
    </row>
    <row r="108" spans="1:26" ht="13.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7"/>
      <c r="Y108" s="107"/>
      <c r="Z108" s="107"/>
    </row>
    <row r="109" spans="1:26" ht="13.8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7"/>
      <c r="Y109" s="107"/>
      <c r="Z109" s="107"/>
    </row>
    <row r="110" spans="1:26" ht="13.8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7"/>
      <c r="Y110" s="107"/>
      <c r="Z110" s="107"/>
    </row>
    <row r="111" spans="1:26" ht="13.8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7"/>
      <c r="Y111" s="107"/>
      <c r="Z111" s="107"/>
    </row>
    <row r="112" spans="1:26" ht="13.8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7"/>
      <c r="Y112" s="107"/>
      <c r="Z112" s="107"/>
    </row>
    <row r="113" spans="1:26" ht="13.8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7"/>
      <c r="Y113" s="107"/>
      <c r="Z113" s="107"/>
    </row>
    <row r="114" spans="1:26" ht="13.8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7"/>
      <c r="Y114" s="107"/>
      <c r="Z114" s="107"/>
    </row>
    <row r="115" spans="1:26" ht="13.8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7"/>
      <c r="Y115" s="107"/>
      <c r="Z115" s="107"/>
    </row>
    <row r="116" spans="1:26" ht="13.8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7"/>
      <c r="Y116" s="107"/>
      <c r="Z116" s="107"/>
    </row>
    <row r="117" spans="1:26" ht="13.8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7"/>
      <c r="Y117" s="107"/>
      <c r="Z117" s="107"/>
    </row>
    <row r="118" spans="1:26" ht="13.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7"/>
      <c r="Y118" s="107"/>
      <c r="Z118" s="107"/>
    </row>
    <row r="119" spans="1:26" ht="13.8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7"/>
      <c r="Y119" s="107"/>
      <c r="Z119" s="107"/>
    </row>
    <row r="120" spans="1:26" ht="13.8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7"/>
      <c r="Y120" s="107"/>
      <c r="Z120" s="107"/>
    </row>
    <row r="121" spans="1:26" ht="13.8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7"/>
      <c r="Y121" s="107"/>
      <c r="Z121" s="107"/>
    </row>
    <row r="122" spans="1:26" ht="13.8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7"/>
      <c r="Y122" s="107"/>
      <c r="Z122" s="107"/>
    </row>
    <row r="123" spans="1:26" ht="13.8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7"/>
      <c r="Y123" s="107"/>
      <c r="Z123" s="107"/>
    </row>
    <row r="124" spans="1:26" ht="13.8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7"/>
      <c r="Y124" s="107"/>
      <c r="Z124" s="107"/>
    </row>
    <row r="125" spans="1:26" ht="13.8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7"/>
      <c r="Y125" s="107"/>
      <c r="Z125" s="107"/>
    </row>
    <row r="126" spans="1:26" ht="13.8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7"/>
      <c r="Y126" s="107"/>
      <c r="Z126" s="107"/>
    </row>
    <row r="127" spans="1:26" ht="13.8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7"/>
      <c r="Y127" s="107"/>
      <c r="Z127" s="107"/>
    </row>
    <row r="128" spans="1:26" ht="13.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7"/>
      <c r="Y128" s="107"/>
      <c r="Z128" s="107"/>
    </row>
    <row r="129" spans="1:26" ht="13.8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7"/>
      <c r="Y129" s="107"/>
      <c r="Z129" s="107"/>
    </row>
    <row r="130" spans="1:26" ht="13.8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7"/>
      <c r="Y130" s="107"/>
      <c r="Z130" s="107"/>
    </row>
    <row r="131" spans="1:26" ht="13.8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7"/>
      <c r="Y131" s="107"/>
      <c r="Z131" s="107"/>
    </row>
    <row r="132" spans="1:26" ht="13.8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7"/>
      <c r="Y132" s="107"/>
      <c r="Z132" s="107"/>
    </row>
    <row r="133" spans="1:26" ht="13.8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7"/>
      <c r="Y133" s="107"/>
      <c r="Z133" s="107"/>
    </row>
    <row r="134" spans="1:26" ht="13.8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7"/>
      <c r="Y134" s="107"/>
      <c r="Z134" s="107"/>
    </row>
    <row r="135" spans="1:26" ht="13.8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7"/>
      <c r="Y135" s="107"/>
      <c r="Z135" s="107"/>
    </row>
    <row r="136" spans="1:26" ht="13.8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7"/>
      <c r="Y136" s="107"/>
      <c r="Z136" s="107"/>
    </row>
    <row r="137" spans="1:26" ht="13.8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7"/>
      <c r="Y137" s="107"/>
      <c r="Z137" s="107"/>
    </row>
    <row r="138" spans="1:26" ht="13.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7"/>
      <c r="Y138" s="107"/>
      <c r="Z138" s="107"/>
    </row>
    <row r="139" spans="1:26" ht="13.8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7"/>
      <c r="Y139" s="107"/>
      <c r="Z139" s="107"/>
    </row>
    <row r="140" spans="1:26" ht="13.8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7"/>
      <c r="Y140" s="107"/>
      <c r="Z140" s="107"/>
    </row>
    <row r="141" spans="1:26" ht="13.8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7"/>
      <c r="Y141" s="107"/>
      <c r="Z141" s="107"/>
    </row>
    <row r="142" spans="1:26" ht="13.8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7"/>
      <c r="Y142" s="107"/>
      <c r="Z142" s="107"/>
    </row>
    <row r="143" spans="1:26" ht="13.8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7"/>
      <c r="Y143" s="107"/>
      <c r="Z143" s="107"/>
    </row>
    <row r="144" spans="1:26" ht="13.8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7"/>
      <c r="Y144" s="107"/>
      <c r="Z144" s="107"/>
    </row>
    <row r="145" spans="1:26" ht="13.8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7"/>
      <c r="Y145" s="107"/>
      <c r="Z145" s="107"/>
    </row>
    <row r="146" spans="1:26" ht="13.8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7"/>
      <c r="Y146" s="107"/>
      <c r="Z146" s="107"/>
    </row>
    <row r="147" spans="1:26" ht="13.8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7"/>
      <c r="Y147" s="107"/>
      <c r="Z147" s="107"/>
    </row>
    <row r="148" spans="1:26" ht="13.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7"/>
      <c r="Y148" s="107"/>
      <c r="Z148" s="107"/>
    </row>
    <row r="149" spans="1:26" ht="13.8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7"/>
      <c r="Y149" s="107"/>
      <c r="Z149" s="107"/>
    </row>
    <row r="150" spans="1:26" ht="13.8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7"/>
      <c r="Y150" s="107"/>
      <c r="Z150" s="107"/>
    </row>
    <row r="151" spans="1:26" ht="13.8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7"/>
      <c r="Y151" s="107"/>
      <c r="Z151" s="107"/>
    </row>
    <row r="152" spans="1:26" ht="13.8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7"/>
      <c r="Y152" s="107"/>
      <c r="Z152" s="107"/>
    </row>
    <row r="153" spans="1:26" ht="13.8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7"/>
      <c r="Y153" s="107"/>
      <c r="Z153" s="107"/>
    </row>
    <row r="154" spans="1:26" ht="13.8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7"/>
      <c r="Y154" s="107"/>
      <c r="Z154" s="107"/>
    </row>
    <row r="155" spans="1:26" ht="13.8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7"/>
      <c r="Y155" s="107"/>
      <c r="Z155" s="107"/>
    </row>
    <row r="156" spans="1:26" ht="13.8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7"/>
      <c r="Y156" s="107"/>
      <c r="Z156" s="107"/>
    </row>
    <row r="157" spans="1:26" ht="13.8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7"/>
      <c r="Y157" s="107"/>
      <c r="Z157" s="107"/>
    </row>
    <row r="158" spans="1:26" ht="13.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7"/>
      <c r="Y158" s="107"/>
      <c r="Z158" s="107"/>
    </row>
    <row r="159" spans="1:26" ht="13.8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7"/>
      <c r="Y159" s="107"/>
      <c r="Z159" s="107"/>
    </row>
    <row r="160" spans="1:26" ht="13.8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7"/>
      <c r="Y160" s="107"/>
      <c r="Z160" s="107"/>
    </row>
    <row r="161" spans="1:26" ht="13.8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7"/>
      <c r="Y161" s="107"/>
      <c r="Z161" s="107"/>
    </row>
    <row r="162" spans="1:26" ht="13.8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7"/>
      <c r="Y162" s="107"/>
      <c r="Z162" s="107"/>
    </row>
    <row r="163" spans="1:26" ht="13.8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7"/>
      <c r="Y163" s="107"/>
      <c r="Z163" s="107"/>
    </row>
    <row r="164" spans="1:26" ht="13.8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7"/>
      <c r="Y164" s="107"/>
      <c r="Z164" s="107"/>
    </row>
    <row r="165" spans="1:26" ht="13.8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7"/>
      <c r="Y165" s="107"/>
      <c r="Z165" s="107"/>
    </row>
    <row r="166" spans="1:26" ht="13.8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7"/>
      <c r="Y166" s="107"/>
      <c r="Z166" s="107"/>
    </row>
    <row r="167" spans="1:26" ht="13.8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7"/>
      <c r="Y167" s="107"/>
      <c r="Z167" s="107"/>
    </row>
    <row r="168" spans="1:26" ht="13.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7"/>
      <c r="Y168" s="107"/>
      <c r="Z168" s="107"/>
    </row>
    <row r="169" spans="1:26" ht="13.8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7"/>
      <c r="Y169" s="107"/>
      <c r="Z169" s="107"/>
    </row>
    <row r="170" spans="1:26" ht="13.8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7"/>
      <c r="Y170" s="107"/>
      <c r="Z170" s="107"/>
    </row>
    <row r="171" spans="1:26" ht="13.8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7"/>
      <c r="Y171" s="107"/>
      <c r="Z171" s="107"/>
    </row>
    <row r="172" spans="1:26" ht="13.8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7"/>
      <c r="Y172" s="107"/>
      <c r="Z172" s="107"/>
    </row>
    <row r="173" spans="1:26" ht="13.8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7"/>
      <c r="Y173" s="107"/>
      <c r="Z173" s="107"/>
    </row>
    <row r="174" spans="1:26" ht="13.8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7"/>
      <c r="Y174" s="107"/>
      <c r="Z174" s="107"/>
    </row>
    <row r="175" spans="1:26" ht="13.8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7"/>
      <c r="Y175" s="107"/>
      <c r="Z175" s="107"/>
    </row>
    <row r="176" spans="1:26" ht="13.8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7"/>
      <c r="Y176" s="107"/>
      <c r="Z176" s="107"/>
    </row>
    <row r="177" spans="1:26" ht="13.8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7"/>
      <c r="Y177" s="107"/>
      <c r="Z177" s="107"/>
    </row>
    <row r="178" spans="1:26" ht="13.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7"/>
      <c r="Y178" s="107"/>
      <c r="Z178" s="107"/>
    </row>
    <row r="179" spans="1:26" ht="13.8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7"/>
      <c r="Y179" s="107"/>
      <c r="Z179" s="107"/>
    </row>
    <row r="180" spans="1:26" ht="13.8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7"/>
      <c r="Y180" s="107"/>
      <c r="Z180" s="107"/>
    </row>
    <row r="181" spans="1:26" ht="13.8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7"/>
      <c r="Y181" s="107"/>
      <c r="Z181" s="107"/>
    </row>
    <row r="182" spans="1:26" ht="13.8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7"/>
      <c r="Y182" s="107"/>
      <c r="Z182" s="107"/>
    </row>
    <row r="183" spans="1:26" ht="13.8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7"/>
      <c r="Y183" s="107"/>
      <c r="Z183" s="107"/>
    </row>
    <row r="184" spans="1:26" ht="13.8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7"/>
      <c r="Y184" s="107"/>
      <c r="Z184" s="107"/>
    </row>
    <row r="185" spans="1:26" ht="13.8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7"/>
      <c r="Y185" s="107"/>
      <c r="Z185" s="107"/>
    </row>
    <row r="186" spans="1:26" ht="13.8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7"/>
      <c r="Y186" s="107"/>
      <c r="Z186" s="107"/>
    </row>
    <row r="187" spans="1:26" ht="13.8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7"/>
      <c r="Y187" s="107"/>
      <c r="Z187" s="107"/>
    </row>
    <row r="188" spans="1:26" ht="13.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7"/>
      <c r="Y188" s="107"/>
      <c r="Z188" s="107"/>
    </row>
    <row r="189" spans="1:26" ht="13.8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7"/>
      <c r="Y189" s="107"/>
      <c r="Z189" s="107"/>
    </row>
    <row r="190" spans="1:26" ht="13.8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7"/>
      <c r="Y190" s="107"/>
      <c r="Z190" s="107"/>
    </row>
    <row r="191" spans="1:26" ht="13.8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7"/>
      <c r="Y191" s="107"/>
      <c r="Z191" s="107"/>
    </row>
    <row r="192" spans="1:26" ht="13.8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7"/>
      <c r="Y192" s="107"/>
      <c r="Z192" s="107"/>
    </row>
    <row r="193" spans="1:26" ht="13.8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7"/>
      <c r="Y193" s="107"/>
      <c r="Z193" s="107"/>
    </row>
    <row r="194" spans="1:26" ht="13.8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7"/>
      <c r="Y194" s="107"/>
      <c r="Z194" s="107"/>
    </row>
    <row r="195" spans="1:26" ht="13.8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7"/>
      <c r="Y195" s="107"/>
      <c r="Z195" s="107"/>
    </row>
    <row r="196" spans="1:26" ht="13.8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7"/>
      <c r="Y196" s="107"/>
      <c r="Z196" s="107"/>
    </row>
    <row r="197" spans="1:26" ht="13.8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7"/>
      <c r="Y197" s="107"/>
      <c r="Z197" s="107"/>
    </row>
    <row r="198" spans="1:26" ht="13.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7"/>
      <c r="Y198" s="107"/>
      <c r="Z198" s="107"/>
    </row>
    <row r="199" spans="1:26" ht="13.8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7"/>
      <c r="Y199" s="107"/>
      <c r="Z199" s="107"/>
    </row>
    <row r="200" spans="1:26" ht="13.8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7"/>
      <c r="Y200" s="107"/>
      <c r="Z200" s="107"/>
    </row>
    <row r="201" spans="1:26" ht="13.8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7"/>
      <c r="Y201" s="107"/>
      <c r="Z201" s="107"/>
    </row>
    <row r="202" spans="1:26" ht="13.8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7"/>
      <c r="Y202" s="107"/>
      <c r="Z202" s="107"/>
    </row>
    <row r="203" spans="1:26" ht="13.8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7"/>
      <c r="Y203" s="107"/>
      <c r="Z203" s="107"/>
    </row>
    <row r="204" spans="1:26" ht="13.8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7"/>
      <c r="Y204" s="107"/>
      <c r="Z204" s="107"/>
    </row>
    <row r="205" spans="1:26" ht="13.8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7"/>
      <c r="Y205" s="107"/>
      <c r="Z205" s="107"/>
    </row>
    <row r="206" spans="1:26" ht="13.8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7"/>
      <c r="Y206" s="107"/>
      <c r="Z206" s="107"/>
    </row>
    <row r="207" spans="1:26" ht="13.8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7"/>
      <c r="Y207" s="107"/>
      <c r="Z207" s="107"/>
    </row>
    <row r="208" spans="1:26" ht="13.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7"/>
      <c r="Y208" s="107"/>
      <c r="Z208" s="107"/>
    </row>
    <row r="209" spans="1:26" ht="13.8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7"/>
      <c r="Y209" s="107"/>
      <c r="Z209" s="107"/>
    </row>
    <row r="210" spans="1:26" ht="13.8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7"/>
      <c r="Y210" s="107"/>
      <c r="Z210" s="107"/>
    </row>
    <row r="211" spans="1:26" ht="13.8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7"/>
      <c r="Y211" s="107"/>
      <c r="Z211" s="107"/>
    </row>
    <row r="212" spans="1:26" ht="13.8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7"/>
      <c r="Y212" s="107"/>
      <c r="Z212" s="107"/>
    </row>
    <row r="213" spans="1:26" ht="13.8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7"/>
      <c r="Y213" s="107"/>
      <c r="Z213" s="107"/>
    </row>
    <row r="214" spans="1:26" ht="13.8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7"/>
      <c r="Y214" s="107"/>
      <c r="Z214" s="107"/>
    </row>
    <row r="215" spans="1:26" ht="13.8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7"/>
      <c r="Y215" s="107"/>
      <c r="Z215" s="107"/>
    </row>
    <row r="216" spans="1:26" ht="13.8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7"/>
      <c r="Y216" s="107"/>
      <c r="Z216" s="107"/>
    </row>
    <row r="217" spans="1:26" ht="13.8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7"/>
      <c r="Y217" s="107"/>
      <c r="Z217" s="107"/>
    </row>
    <row r="218" spans="1:26" ht="13.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7"/>
      <c r="Y218" s="107"/>
      <c r="Z218" s="107"/>
    </row>
    <row r="219" spans="1:26" ht="13.8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7"/>
      <c r="Y219" s="107"/>
      <c r="Z219" s="107"/>
    </row>
    <row r="220" spans="1:26" ht="13.8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7"/>
      <c r="Y220" s="107"/>
      <c r="Z220" s="107"/>
    </row>
    <row r="221" spans="1:26" ht="13.8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7"/>
      <c r="Y221" s="107"/>
      <c r="Z221" s="107"/>
    </row>
    <row r="222" spans="1:26" ht="13.8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7"/>
      <c r="Y222" s="107"/>
      <c r="Z222" s="107"/>
    </row>
    <row r="223" spans="1:26" ht="13.8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7"/>
      <c r="Y223" s="107"/>
      <c r="Z223" s="107"/>
    </row>
    <row r="224" spans="1:26" ht="13.8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7"/>
      <c r="Y224" s="107"/>
      <c r="Z224" s="107"/>
    </row>
    <row r="225" spans="1:26" ht="13.8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7"/>
      <c r="Y225" s="107"/>
      <c r="Z225" s="107"/>
    </row>
    <row r="226" spans="1:26" ht="13.8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7"/>
      <c r="Y226" s="107"/>
      <c r="Z226" s="107"/>
    </row>
    <row r="227" spans="1:26" ht="13.8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7"/>
      <c r="Y227" s="107"/>
      <c r="Z227" s="107"/>
    </row>
    <row r="228" spans="1:26" ht="13.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7"/>
      <c r="Y228" s="107"/>
      <c r="Z228" s="107"/>
    </row>
    <row r="229" spans="1:26" ht="13.8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7"/>
      <c r="Y229" s="107"/>
      <c r="Z229" s="107"/>
    </row>
    <row r="230" spans="1:26" ht="13.8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7"/>
      <c r="Y230" s="107"/>
      <c r="Z230" s="107"/>
    </row>
    <row r="231" spans="1:26" ht="13.8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7"/>
      <c r="Y231" s="107"/>
      <c r="Z231" s="107"/>
    </row>
    <row r="232" spans="1:26" ht="13.8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7"/>
      <c r="Y232" s="107"/>
      <c r="Z232" s="107"/>
    </row>
    <row r="233" spans="1:26" ht="13.8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7"/>
      <c r="Y233" s="107"/>
      <c r="Z233" s="107"/>
    </row>
    <row r="234" spans="1:26" ht="13.8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7"/>
      <c r="Y234" s="107"/>
      <c r="Z234" s="107"/>
    </row>
    <row r="235" spans="1:26" ht="13.8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7"/>
      <c r="Y235" s="107"/>
      <c r="Z235" s="107"/>
    </row>
    <row r="236" spans="1:26" ht="13.8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7"/>
      <c r="Y236" s="107"/>
      <c r="Z236" s="107"/>
    </row>
    <row r="237" spans="1:26" ht="13.8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7"/>
      <c r="Y237" s="107"/>
      <c r="Z237" s="107"/>
    </row>
    <row r="238" spans="1:26" ht="13.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7"/>
      <c r="Y238" s="107"/>
      <c r="Z238" s="107"/>
    </row>
    <row r="239" spans="1:26" ht="13.8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7"/>
      <c r="Y239" s="107"/>
      <c r="Z239" s="107"/>
    </row>
    <row r="240" spans="1:26" ht="13.8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7"/>
      <c r="Y240" s="107"/>
      <c r="Z240" s="107"/>
    </row>
    <row r="241" spans="1:26" ht="13.8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7"/>
      <c r="Y241" s="107"/>
      <c r="Z241" s="107"/>
    </row>
    <row r="242" spans="1:26" ht="13.8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7"/>
      <c r="Y242" s="107"/>
      <c r="Z242" s="107"/>
    </row>
    <row r="243" spans="1:26" ht="13.8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7"/>
      <c r="Y243" s="107"/>
      <c r="Z243" s="107"/>
    </row>
    <row r="244" spans="1:26" ht="13.8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7"/>
      <c r="Y244" s="107"/>
      <c r="Z244" s="107"/>
    </row>
    <row r="245" spans="1:26" ht="13.8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7"/>
      <c r="Y245" s="107"/>
      <c r="Z245" s="107"/>
    </row>
    <row r="246" spans="1:26" ht="13.8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7"/>
      <c r="Y246" s="107"/>
      <c r="Z246" s="107"/>
    </row>
    <row r="247" spans="1:26" ht="13.8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7"/>
      <c r="Y247" s="107"/>
      <c r="Z247" s="107"/>
    </row>
    <row r="248" spans="1:26" ht="13.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7"/>
      <c r="Y248" s="107"/>
      <c r="Z248" s="107"/>
    </row>
    <row r="249" spans="1:26" ht="13.8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7"/>
      <c r="Y249" s="107"/>
      <c r="Z249" s="107"/>
    </row>
    <row r="250" spans="1:26" ht="13.8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7"/>
      <c r="Y250" s="107"/>
      <c r="Z250" s="107"/>
    </row>
    <row r="251" spans="1:26" ht="13.8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7"/>
      <c r="Y251" s="107"/>
      <c r="Z251" s="107"/>
    </row>
    <row r="252" spans="1:26" ht="13.8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7"/>
      <c r="Y252" s="107"/>
      <c r="Z252" s="107"/>
    </row>
    <row r="253" spans="1:26" ht="13.8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7"/>
      <c r="Y253" s="107"/>
      <c r="Z253" s="107"/>
    </row>
    <row r="254" spans="1:26" ht="13.8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7"/>
      <c r="Y254" s="107"/>
      <c r="Z254" s="107"/>
    </row>
    <row r="255" spans="1:26" ht="13.8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7"/>
      <c r="Y255" s="107"/>
      <c r="Z255" s="107"/>
    </row>
    <row r="256" spans="1:26" ht="13.8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7"/>
      <c r="Y256" s="107"/>
      <c r="Z256" s="107"/>
    </row>
    <row r="257" spans="1:26" ht="13.8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7"/>
      <c r="Y257" s="107"/>
      <c r="Z257" s="107"/>
    </row>
    <row r="258" spans="1:26" ht="13.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7"/>
      <c r="Y258" s="107"/>
      <c r="Z258" s="107"/>
    </row>
    <row r="259" spans="1:26" ht="13.8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7"/>
      <c r="Y259" s="107"/>
      <c r="Z259" s="107"/>
    </row>
    <row r="260" spans="1:26" ht="13.8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7"/>
      <c r="Y260" s="107"/>
      <c r="Z260" s="107"/>
    </row>
    <row r="261" spans="1:26" ht="13.8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7"/>
      <c r="Y261" s="107"/>
      <c r="Z261" s="107"/>
    </row>
    <row r="262" spans="1:26" ht="13.8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7"/>
      <c r="Y262" s="107"/>
      <c r="Z262" s="107"/>
    </row>
    <row r="263" spans="1:26" ht="13.8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7"/>
      <c r="Y263" s="107"/>
      <c r="Z263" s="107"/>
    </row>
    <row r="264" spans="1:26" ht="13.8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7"/>
      <c r="Y264" s="107"/>
      <c r="Z264" s="107"/>
    </row>
    <row r="265" spans="1:26" ht="13.8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7"/>
      <c r="Y265" s="107"/>
      <c r="Z265" s="107"/>
    </row>
    <row r="266" spans="1:26" ht="13.8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7"/>
      <c r="Y266" s="107"/>
      <c r="Z266" s="107"/>
    </row>
    <row r="267" spans="1:26" ht="13.8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7"/>
      <c r="Y267" s="107"/>
      <c r="Z267" s="107"/>
    </row>
    <row r="268" spans="1:26" ht="13.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7"/>
      <c r="Y268" s="107"/>
      <c r="Z268" s="107"/>
    </row>
    <row r="269" spans="1:26" ht="13.8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7"/>
      <c r="Y269" s="107"/>
      <c r="Z269" s="107"/>
    </row>
    <row r="270" spans="1:26" ht="13.8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7"/>
      <c r="Y270" s="107"/>
      <c r="Z270" s="107"/>
    </row>
    <row r="271" spans="1:26" ht="13.8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7"/>
      <c r="Y271" s="107"/>
      <c r="Z271" s="107"/>
    </row>
    <row r="272" spans="1:26" ht="13.8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7"/>
      <c r="Y272" s="107"/>
      <c r="Z272" s="107"/>
    </row>
    <row r="273" spans="1:26" ht="13.8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7"/>
      <c r="Y273" s="107"/>
      <c r="Z273" s="107"/>
    </row>
    <row r="274" spans="1:26" ht="13.8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7"/>
      <c r="Y274" s="107"/>
      <c r="Z274" s="107"/>
    </row>
    <row r="275" spans="1:26" ht="13.8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7"/>
      <c r="Y275" s="107"/>
      <c r="Z275" s="107"/>
    </row>
    <row r="276" spans="1:26" ht="13.8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7"/>
      <c r="Y276" s="107"/>
      <c r="Z276" s="107"/>
    </row>
    <row r="277" spans="1:26" ht="13.8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7"/>
      <c r="Y277" s="107"/>
      <c r="Z277" s="107"/>
    </row>
    <row r="278" spans="1:26" ht="13.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7"/>
      <c r="Y278" s="107"/>
      <c r="Z278" s="107"/>
    </row>
    <row r="279" spans="1:26" ht="13.8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7"/>
      <c r="Y279" s="107"/>
      <c r="Z279" s="107"/>
    </row>
    <row r="280" spans="1:26" ht="13.8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7"/>
      <c r="Y280" s="107"/>
      <c r="Z280" s="107"/>
    </row>
    <row r="281" spans="1:26" ht="13.8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7"/>
      <c r="Y281" s="107"/>
      <c r="Z281" s="107"/>
    </row>
    <row r="282" spans="1:26" ht="13.8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7"/>
      <c r="Y282" s="107"/>
      <c r="Z282" s="107"/>
    </row>
    <row r="283" spans="1:26" ht="13.8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7"/>
      <c r="Y283" s="107"/>
      <c r="Z283" s="107"/>
    </row>
    <row r="284" spans="1:26" ht="13.8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7"/>
      <c r="Y284" s="107"/>
      <c r="Z284" s="107"/>
    </row>
    <row r="285" spans="1:26" ht="13.8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7"/>
      <c r="Y285" s="107"/>
      <c r="Z285" s="107"/>
    </row>
    <row r="286" spans="1:26" ht="13.8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7"/>
      <c r="Y286" s="107"/>
      <c r="Z286" s="107"/>
    </row>
    <row r="287" spans="1:26" ht="13.8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7"/>
      <c r="Y287" s="107"/>
      <c r="Z287" s="107"/>
    </row>
    <row r="288" spans="1:26" ht="13.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7"/>
      <c r="Y288" s="107"/>
      <c r="Z288" s="107"/>
    </row>
    <row r="289" spans="1:26" ht="13.8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7"/>
      <c r="Y289" s="107"/>
      <c r="Z289" s="107"/>
    </row>
    <row r="290" spans="1:26" ht="13.8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7"/>
      <c r="Y290" s="107"/>
      <c r="Z290" s="107"/>
    </row>
    <row r="291" spans="1:26" ht="13.8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7"/>
      <c r="Y291" s="107"/>
      <c r="Z291" s="107"/>
    </row>
    <row r="292" spans="1:26" ht="13.8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7"/>
      <c r="Y292" s="107"/>
      <c r="Z292" s="107"/>
    </row>
    <row r="293" spans="1:26" ht="13.8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7"/>
      <c r="Y293" s="107"/>
      <c r="Z293" s="107"/>
    </row>
    <row r="294" spans="1:26" ht="13.8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7"/>
      <c r="Y294" s="107"/>
      <c r="Z294" s="107"/>
    </row>
    <row r="295" spans="1:26" ht="13.8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7"/>
      <c r="Y295" s="107"/>
      <c r="Z295" s="107"/>
    </row>
    <row r="296" spans="1:26" ht="13.8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7"/>
      <c r="Y296" s="107"/>
      <c r="Z296" s="107"/>
    </row>
    <row r="297" spans="1:26" ht="13.8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7"/>
      <c r="Y297" s="107"/>
      <c r="Z297" s="107"/>
    </row>
    <row r="298" spans="1:26" ht="13.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7"/>
      <c r="Y298" s="107"/>
      <c r="Z298" s="107"/>
    </row>
    <row r="299" spans="1:26" ht="13.8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7"/>
      <c r="Y299" s="107"/>
      <c r="Z299" s="107"/>
    </row>
    <row r="300" spans="1:26" ht="13.8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7"/>
      <c r="Y300" s="107"/>
      <c r="Z300" s="107"/>
    </row>
    <row r="301" spans="1:26" ht="13.8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7"/>
      <c r="Y301" s="107"/>
      <c r="Z301" s="107"/>
    </row>
    <row r="302" spans="1:26" ht="13.8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7"/>
      <c r="Y302" s="107"/>
      <c r="Z302" s="107"/>
    </row>
    <row r="303" spans="1:26" ht="13.8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7"/>
      <c r="Y303" s="107"/>
      <c r="Z303" s="107"/>
    </row>
    <row r="304" spans="1:26" ht="13.8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7"/>
      <c r="Y304" s="107"/>
      <c r="Z304" s="107"/>
    </row>
    <row r="305" spans="1:26" ht="13.8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7"/>
      <c r="Y305" s="107"/>
      <c r="Z305" s="107"/>
    </row>
    <row r="306" spans="1:26" ht="13.8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7"/>
      <c r="Y306" s="107"/>
      <c r="Z306" s="107"/>
    </row>
    <row r="307" spans="1:26" ht="13.8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7"/>
      <c r="Y307" s="107"/>
      <c r="Z307" s="107"/>
    </row>
    <row r="308" spans="1:26" ht="13.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7"/>
      <c r="Y308" s="107"/>
      <c r="Z308" s="107"/>
    </row>
    <row r="309" spans="1:26" ht="13.8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7"/>
      <c r="Y309" s="107"/>
      <c r="Z309" s="107"/>
    </row>
    <row r="310" spans="1:26" ht="13.8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7"/>
      <c r="Y310" s="107"/>
      <c r="Z310" s="107"/>
    </row>
    <row r="311" spans="1:26" ht="13.8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7"/>
      <c r="Y311" s="107"/>
      <c r="Z311" s="107"/>
    </row>
    <row r="312" spans="1:26" ht="13.8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7"/>
      <c r="Y312" s="107"/>
      <c r="Z312" s="107"/>
    </row>
    <row r="313" spans="1:26" ht="13.8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7"/>
      <c r="Y313" s="107"/>
      <c r="Z313" s="107"/>
    </row>
    <row r="314" spans="1:26" ht="13.8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7"/>
      <c r="Y314" s="107"/>
      <c r="Z314" s="107"/>
    </row>
    <row r="315" spans="1:26" ht="13.8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7"/>
      <c r="Y315" s="107"/>
      <c r="Z315" s="107"/>
    </row>
    <row r="316" spans="1:26" ht="13.8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7"/>
      <c r="Y316" s="107"/>
      <c r="Z316" s="107"/>
    </row>
    <row r="317" spans="1:26" ht="13.8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7"/>
      <c r="Y317" s="107"/>
      <c r="Z317" s="107"/>
    </row>
    <row r="318" spans="1:26" ht="13.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7"/>
      <c r="Y318" s="107"/>
      <c r="Z318" s="107"/>
    </row>
    <row r="319" spans="1:26" ht="13.8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7"/>
      <c r="Y319" s="107"/>
      <c r="Z319" s="107"/>
    </row>
    <row r="320" spans="1:26" ht="13.8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7"/>
      <c r="Y320" s="107"/>
      <c r="Z320" s="107"/>
    </row>
    <row r="321" spans="1:26" ht="13.8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7"/>
      <c r="Y321" s="107"/>
      <c r="Z321" s="107"/>
    </row>
    <row r="322" spans="1:26" ht="13.8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7"/>
      <c r="Y322" s="107"/>
      <c r="Z322" s="107"/>
    </row>
    <row r="323" spans="1:26" ht="13.8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7"/>
      <c r="Y323" s="107"/>
      <c r="Z323" s="107"/>
    </row>
    <row r="324" spans="1:26" ht="13.8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7"/>
      <c r="Y324" s="107"/>
      <c r="Z324" s="107"/>
    </row>
    <row r="325" spans="1:26" ht="13.8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7"/>
      <c r="Y325" s="107"/>
      <c r="Z325" s="107"/>
    </row>
    <row r="326" spans="1:26" ht="13.8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7"/>
      <c r="Y326" s="107"/>
      <c r="Z326" s="107"/>
    </row>
    <row r="327" spans="1:26" ht="13.8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7"/>
      <c r="Y327" s="107"/>
      <c r="Z327" s="107"/>
    </row>
    <row r="328" spans="1:26" ht="13.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7"/>
      <c r="Y328" s="107"/>
      <c r="Z328" s="107"/>
    </row>
    <row r="329" spans="1:26" ht="13.8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7"/>
      <c r="Y329" s="107"/>
      <c r="Z329" s="107"/>
    </row>
    <row r="330" spans="1:26" ht="13.8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7"/>
      <c r="Y330" s="107"/>
      <c r="Z330" s="107"/>
    </row>
    <row r="331" spans="1:26" ht="13.8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7"/>
      <c r="Y331" s="107"/>
      <c r="Z331" s="107"/>
    </row>
    <row r="332" spans="1:26" ht="13.8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7"/>
      <c r="Y332" s="107"/>
      <c r="Z332" s="107"/>
    </row>
    <row r="333" spans="1:26" ht="13.8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7"/>
      <c r="Y333" s="107"/>
      <c r="Z333" s="107"/>
    </row>
    <row r="334" spans="1:26" ht="13.8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7"/>
      <c r="Y334" s="107"/>
      <c r="Z334" s="107"/>
    </row>
    <row r="335" spans="1:26" ht="13.8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7"/>
      <c r="Y335" s="107"/>
      <c r="Z335" s="107"/>
    </row>
    <row r="336" spans="1:26" ht="13.8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7"/>
      <c r="Y336" s="107"/>
      <c r="Z336" s="107"/>
    </row>
    <row r="337" spans="1:26" ht="13.8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7"/>
      <c r="Y337" s="107"/>
      <c r="Z337" s="107"/>
    </row>
    <row r="338" spans="1:26" ht="13.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7"/>
      <c r="Y338" s="107"/>
      <c r="Z338" s="107"/>
    </row>
    <row r="339" spans="1:26" ht="13.8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7"/>
      <c r="Y339" s="107"/>
      <c r="Z339" s="107"/>
    </row>
    <row r="340" spans="1:26" ht="13.8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7"/>
      <c r="Y340" s="107"/>
      <c r="Z340" s="107"/>
    </row>
    <row r="341" spans="1:26" ht="13.8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7"/>
      <c r="Y341" s="107"/>
      <c r="Z341" s="107"/>
    </row>
    <row r="342" spans="1:26" ht="13.8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7"/>
      <c r="Y342" s="107"/>
      <c r="Z342" s="107"/>
    </row>
    <row r="343" spans="1:26" ht="13.8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7"/>
      <c r="Y343" s="107"/>
      <c r="Z343" s="107"/>
    </row>
    <row r="344" spans="1:26" ht="13.8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7"/>
      <c r="Y344" s="107"/>
      <c r="Z344" s="107"/>
    </row>
    <row r="345" spans="1:26" ht="13.8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7"/>
      <c r="Y345" s="107"/>
      <c r="Z345" s="107"/>
    </row>
    <row r="346" spans="1:26" ht="13.8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7"/>
      <c r="Y346" s="107"/>
      <c r="Z346" s="107"/>
    </row>
    <row r="347" spans="1:26" ht="13.8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7"/>
      <c r="Y347" s="107"/>
      <c r="Z347" s="107"/>
    </row>
    <row r="348" spans="1:26" ht="13.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7"/>
      <c r="Y348" s="107"/>
      <c r="Z348" s="107"/>
    </row>
    <row r="349" spans="1:26" ht="13.8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7"/>
      <c r="Y349" s="107"/>
      <c r="Z349" s="107"/>
    </row>
    <row r="350" spans="1:26" ht="13.8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7"/>
      <c r="Y350" s="107"/>
      <c r="Z350" s="107"/>
    </row>
    <row r="351" spans="1:26" ht="13.8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7"/>
      <c r="Y351" s="107"/>
      <c r="Z351" s="107"/>
    </row>
    <row r="352" spans="1:26" ht="13.8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7"/>
      <c r="Y352" s="107"/>
      <c r="Z352" s="107"/>
    </row>
    <row r="353" spans="1:26" ht="13.8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7"/>
      <c r="Y353" s="107"/>
      <c r="Z353" s="107"/>
    </row>
    <row r="354" spans="1:26" ht="13.8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7"/>
      <c r="Y354" s="107"/>
      <c r="Z354" s="107"/>
    </row>
    <row r="355" spans="1:26" ht="13.8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7"/>
      <c r="Y355" s="107"/>
      <c r="Z355" s="107"/>
    </row>
    <row r="356" spans="1:26" ht="13.8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7"/>
      <c r="Y356" s="107"/>
      <c r="Z356" s="107"/>
    </row>
    <row r="357" spans="1:26" ht="13.8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7"/>
      <c r="Y357" s="107"/>
      <c r="Z357" s="107"/>
    </row>
    <row r="358" spans="1:26" ht="13.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7"/>
      <c r="Y358" s="107"/>
      <c r="Z358" s="107"/>
    </row>
    <row r="359" spans="1:26" ht="13.8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7"/>
      <c r="Y359" s="107"/>
      <c r="Z359" s="107"/>
    </row>
    <row r="360" spans="1:26" ht="13.8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7"/>
      <c r="Y360" s="107"/>
      <c r="Z360" s="107"/>
    </row>
    <row r="361" spans="1:26" ht="13.8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7"/>
      <c r="Y361" s="107"/>
      <c r="Z361" s="107"/>
    </row>
    <row r="362" spans="1:26" ht="13.8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7"/>
      <c r="Y362" s="107"/>
      <c r="Z362" s="107"/>
    </row>
    <row r="363" spans="1:26" ht="13.8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7"/>
      <c r="Y363" s="107"/>
      <c r="Z363" s="107"/>
    </row>
    <row r="364" spans="1:26" ht="13.8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7"/>
      <c r="Y364" s="107"/>
      <c r="Z364" s="107"/>
    </row>
    <row r="365" spans="1:26" ht="13.8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7"/>
      <c r="Y365" s="107"/>
      <c r="Z365" s="107"/>
    </row>
    <row r="366" spans="1:26" ht="13.8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7"/>
      <c r="Y366" s="107"/>
      <c r="Z366" s="107"/>
    </row>
    <row r="367" spans="1:26" ht="13.8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7"/>
      <c r="Y367" s="107"/>
      <c r="Z367" s="107"/>
    </row>
    <row r="368" spans="1:26" ht="13.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7"/>
      <c r="Y368" s="107"/>
      <c r="Z368" s="107"/>
    </row>
    <row r="369" spans="1:26" ht="13.8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7"/>
      <c r="Y369" s="107"/>
      <c r="Z369" s="107"/>
    </row>
    <row r="370" spans="1:26" ht="13.8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7"/>
      <c r="Y370" s="107"/>
      <c r="Z370" s="107"/>
    </row>
    <row r="371" spans="1:26" ht="13.8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7"/>
      <c r="Y371" s="107"/>
      <c r="Z371" s="107"/>
    </row>
    <row r="372" spans="1:26" ht="13.8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7"/>
      <c r="Y372" s="107"/>
      <c r="Z372" s="107"/>
    </row>
    <row r="373" spans="1:26" ht="13.8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7"/>
      <c r="Y373" s="107"/>
      <c r="Z373" s="107"/>
    </row>
    <row r="374" spans="1:26" ht="13.8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7"/>
      <c r="Y374" s="107"/>
      <c r="Z374" s="107"/>
    </row>
    <row r="375" spans="1:26" ht="13.8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7"/>
      <c r="Y375" s="107"/>
      <c r="Z375" s="107"/>
    </row>
    <row r="376" spans="1:26" ht="13.8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7"/>
      <c r="Y376" s="107"/>
      <c r="Z376" s="107"/>
    </row>
    <row r="377" spans="1:26" ht="13.8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7"/>
      <c r="Y377" s="107"/>
      <c r="Z377" s="107"/>
    </row>
    <row r="378" spans="1:26" ht="13.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7"/>
      <c r="Y378" s="107"/>
      <c r="Z378" s="107"/>
    </row>
    <row r="379" spans="1:26" ht="13.8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7"/>
      <c r="Y379" s="107"/>
      <c r="Z379" s="107"/>
    </row>
    <row r="380" spans="1:26" ht="13.8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7"/>
      <c r="Y380" s="107"/>
      <c r="Z380" s="107"/>
    </row>
    <row r="381" spans="1:26" ht="13.8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7"/>
      <c r="Y381" s="107"/>
      <c r="Z381" s="107"/>
    </row>
    <row r="382" spans="1:26" ht="13.8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7"/>
      <c r="Y382" s="107"/>
      <c r="Z382" s="107"/>
    </row>
    <row r="383" spans="1:26" ht="13.8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7"/>
      <c r="Y383" s="107"/>
      <c r="Z383" s="107"/>
    </row>
    <row r="384" spans="1:26" ht="13.8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7"/>
      <c r="Y384" s="107"/>
      <c r="Z384" s="107"/>
    </row>
    <row r="385" spans="1:26" ht="13.8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7"/>
      <c r="Y385" s="107"/>
      <c r="Z385" s="107"/>
    </row>
    <row r="386" spans="1:26" ht="13.8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7"/>
      <c r="Y386" s="107"/>
      <c r="Z386" s="107"/>
    </row>
    <row r="387" spans="1:26" ht="13.8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7"/>
      <c r="Y387" s="107"/>
      <c r="Z387" s="107"/>
    </row>
    <row r="388" spans="1:26" ht="13.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7"/>
      <c r="Y388" s="107"/>
      <c r="Z388" s="107"/>
    </row>
    <row r="389" spans="1:26" ht="13.8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7"/>
      <c r="Y389" s="107"/>
      <c r="Z389" s="107"/>
    </row>
    <row r="390" spans="1:26" ht="13.8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7"/>
      <c r="Y390" s="107"/>
      <c r="Z390" s="107"/>
    </row>
    <row r="391" spans="1:26" ht="13.8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7"/>
      <c r="Y391" s="107"/>
      <c r="Z391" s="107"/>
    </row>
    <row r="392" spans="1:26" ht="13.8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7"/>
      <c r="Y392" s="107"/>
      <c r="Z392" s="107"/>
    </row>
    <row r="393" spans="1:26" ht="13.8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7"/>
      <c r="Y393" s="107"/>
      <c r="Z393" s="107"/>
    </row>
    <row r="394" spans="1:26" ht="13.8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7"/>
      <c r="Y394" s="107"/>
      <c r="Z394" s="107"/>
    </row>
    <row r="395" spans="1:26" ht="13.8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7"/>
      <c r="Y395" s="107"/>
      <c r="Z395" s="107"/>
    </row>
    <row r="396" spans="1:26" ht="13.8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7"/>
      <c r="Y396" s="107"/>
      <c r="Z396" s="107"/>
    </row>
    <row r="397" spans="1:26" ht="13.8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7"/>
      <c r="Y397" s="107"/>
      <c r="Z397" s="107"/>
    </row>
    <row r="398" spans="1:26" ht="13.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7"/>
      <c r="Y398" s="107"/>
      <c r="Z398" s="107"/>
    </row>
    <row r="399" spans="1:26" ht="13.8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7"/>
      <c r="Y399" s="107"/>
      <c r="Z399" s="107"/>
    </row>
    <row r="400" spans="1:26" ht="13.8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7"/>
      <c r="Y400" s="107"/>
      <c r="Z400" s="107"/>
    </row>
    <row r="401" spans="1:26" ht="13.8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7"/>
      <c r="Y401" s="107"/>
      <c r="Z401" s="107"/>
    </row>
    <row r="402" spans="1:26" ht="13.8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7"/>
      <c r="Y402" s="107"/>
      <c r="Z402" s="107"/>
    </row>
    <row r="403" spans="1:26" ht="13.8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7"/>
      <c r="Y403" s="107"/>
      <c r="Z403" s="107"/>
    </row>
    <row r="404" spans="1:26" ht="13.8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7"/>
      <c r="Y404" s="107"/>
      <c r="Z404" s="107"/>
    </row>
    <row r="405" spans="1:26" ht="13.8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7"/>
      <c r="Y405" s="107"/>
      <c r="Z405" s="107"/>
    </row>
    <row r="406" spans="1:26" ht="13.8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7"/>
      <c r="Y406" s="107"/>
      <c r="Z406" s="107"/>
    </row>
    <row r="407" spans="1:26" ht="13.8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7"/>
      <c r="Y407" s="107"/>
      <c r="Z407" s="107"/>
    </row>
    <row r="408" spans="1:26" ht="13.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7"/>
      <c r="Y408" s="107"/>
      <c r="Z408" s="107"/>
    </row>
    <row r="409" spans="1:26" ht="13.8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7"/>
      <c r="Y409" s="107"/>
      <c r="Z409" s="107"/>
    </row>
    <row r="410" spans="1:26" ht="13.8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7"/>
      <c r="Y410" s="107"/>
      <c r="Z410" s="107"/>
    </row>
    <row r="411" spans="1:26" ht="13.8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7"/>
      <c r="Y411" s="107"/>
      <c r="Z411" s="107"/>
    </row>
    <row r="412" spans="1:26" ht="13.8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7"/>
      <c r="Y412" s="107"/>
      <c r="Z412" s="107"/>
    </row>
    <row r="413" spans="1:26" ht="13.8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7"/>
      <c r="Y413" s="107"/>
      <c r="Z413" s="107"/>
    </row>
    <row r="414" spans="1:26" ht="13.8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7"/>
      <c r="Y414" s="107"/>
      <c r="Z414" s="107"/>
    </row>
    <row r="415" spans="1:26" ht="13.8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7"/>
      <c r="Y415" s="107"/>
      <c r="Z415" s="107"/>
    </row>
    <row r="416" spans="1:26" ht="13.8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7"/>
      <c r="Y416" s="107"/>
      <c r="Z416" s="107"/>
    </row>
    <row r="417" spans="1:26" ht="13.8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7"/>
      <c r="Y417" s="107"/>
      <c r="Z417" s="107"/>
    </row>
    <row r="418" spans="1:26" ht="13.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7"/>
      <c r="Y418" s="107"/>
      <c r="Z418" s="107"/>
    </row>
    <row r="419" spans="1:26" ht="13.8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7"/>
      <c r="Y419" s="107"/>
      <c r="Z419" s="107"/>
    </row>
    <row r="420" spans="1:26" ht="13.8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7"/>
      <c r="Y420" s="107"/>
      <c r="Z420" s="107"/>
    </row>
    <row r="421" spans="1:26" ht="13.8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7"/>
      <c r="Y421" s="107"/>
      <c r="Z421" s="107"/>
    </row>
    <row r="422" spans="1:26" ht="13.8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7"/>
      <c r="Y422" s="107"/>
      <c r="Z422" s="107"/>
    </row>
    <row r="423" spans="1:26" ht="13.8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7"/>
      <c r="Y423" s="107"/>
      <c r="Z423" s="107"/>
    </row>
    <row r="424" spans="1:26" ht="13.8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7"/>
      <c r="Y424" s="107"/>
      <c r="Z424" s="107"/>
    </row>
    <row r="425" spans="1:26" ht="13.8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7"/>
      <c r="Y425" s="107"/>
      <c r="Z425" s="107"/>
    </row>
    <row r="426" spans="1:26" ht="13.8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7"/>
      <c r="Y426" s="107"/>
      <c r="Z426" s="107"/>
    </row>
    <row r="427" spans="1:26" ht="13.8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7"/>
      <c r="Y427" s="107"/>
      <c r="Z427" s="107"/>
    </row>
    <row r="428" spans="1:26" ht="13.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7"/>
      <c r="Y428" s="107"/>
      <c r="Z428" s="107"/>
    </row>
    <row r="429" spans="1:26" ht="13.8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7"/>
      <c r="Y429" s="107"/>
      <c r="Z429" s="107"/>
    </row>
    <row r="430" spans="1:26" ht="13.8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7"/>
      <c r="Y430" s="107"/>
      <c r="Z430" s="107"/>
    </row>
    <row r="431" spans="1:26" ht="13.8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7"/>
      <c r="Y431" s="107"/>
      <c r="Z431" s="107"/>
    </row>
    <row r="432" spans="1:26" ht="13.8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7"/>
      <c r="Y432" s="107"/>
      <c r="Z432" s="107"/>
    </row>
    <row r="433" spans="1:26" ht="13.8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7"/>
      <c r="Y433" s="107"/>
      <c r="Z433" s="107"/>
    </row>
    <row r="434" spans="1:26" ht="13.8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7"/>
      <c r="Y434" s="107"/>
      <c r="Z434" s="107"/>
    </row>
    <row r="435" spans="1:26" ht="13.8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7"/>
      <c r="Y435" s="107"/>
      <c r="Z435" s="107"/>
    </row>
    <row r="436" spans="1:26" ht="13.8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7"/>
      <c r="Y436" s="107"/>
      <c r="Z436" s="107"/>
    </row>
    <row r="437" spans="1:26" ht="13.8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7"/>
      <c r="Y437" s="107"/>
      <c r="Z437" s="107"/>
    </row>
    <row r="438" spans="1:26" ht="13.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7"/>
      <c r="Y438" s="107"/>
      <c r="Z438" s="107"/>
    </row>
    <row r="439" spans="1:26" ht="13.8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7"/>
      <c r="Y439" s="107"/>
      <c r="Z439" s="107"/>
    </row>
    <row r="440" spans="1:26" ht="13.8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7"/>
      <c r="Y440" s="107"/>
      <c r="Z440" s="107"/>
    </row>
    <row r="441" spans="1:26" ht="13.8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7"/>
      <c r="Y441" s="107"/>
      <c r="Z441" s="107"/>
    </row>
    <row r="442" spans="1:26" ht="13.8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7"/>
      <c r="Y442" s="107"/>
      <c r="Z442" s="107"/>
    </row>
    <row r="443" spans="1:26" ht="13.8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7"/>
      <c r="Y443" s="107"/>
      <c r="Z443" s="107"/>
    </row>
    <row r="444" spans="1:26" ht="13.8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7"/>
      <c r="Y444" s="107"/>
      <c r="Z444" s="107"/>
    </row>
    <row r="445" spans="1:26" ht="13.8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7"/>
      <c r="Y445" s="107"/>
      <c r="Z445" s="107"/>
    </row>
    <row r="446" spans="1:26" ht="13.8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7"/>
      <c r="Y446" s="107"/>
      <c r="Z446" s="107"/>
    </row>
    <row r="447" spans="1:26" ht="13.8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7"/>
      <c r="Y447" s="107"/>
      <c r="Z447" s="107"/>
    </row>
    <row r="448" spans="1:26" ht="13.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7"/>
      <c r="Y448" s="107"/>
      <c r="Z448" s="107"/>
    </row>
    <row r="449" spans="1:26" ht="13.8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7"/>
      <c r="Y449" s="107"/>
      <c r="Z449" s="107"/>
    </row>
    <row r="450" spans="1:26" ht="13.8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7"/>
      <c r="Y450" s="107"/>
      <c r="Z450" s="107"/>
    </row>
    <row r="451" spans="1:26" ht="13.8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7"/>
      <c r="Y451" s="107"/>
      <c r="Z451" s="107"/>
    </row>
    <row r="452" spans="1:26" ht="13.8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7"/>
      <c r="Y452" s="107"/>
      <c r="Z452" s="107"/>
    </row>
    <row r="453" spans="1:26" ht="13.8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7"/>
      <c r="Y453" s="107"/>
      <c r="Z453" s="107"/>
    </row>
    <row r="454" spans="1:26" ht="13.8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7"/>
      <c r="Y454" s="107"/>
      <c r="Z454" s="107"/>
    </row>
    <row r="455" spans="1:26" ht="13.8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7"/>
      <c r="Y455" s="107"/>
      <c r="Z455" s="107"/>
    </row>
    <row r="456" spans="1:26" ht="13.8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7"/>
      <c r="Y456" s="107"/>
      <c r="Z456" s="107"/>
    </row>
    <row r="457" spans="1:26" ht="13.8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7"/>
      <c r="Y457" s="107"/>
      <c r="Z457" s="107"/>
    </row>
    <row r="458" spans="1:26" ht="13.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7"/>
      <c r="Y458" s="107"/>
      <c r="Z458" s="107"/>
    </row>
    <row r="459" spans="1:26" ht="13.8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7"/>
      <c r="Y459" s="107"/>
      <c r="Z459" s="107"/>
    </row>
    <row r="460" spans="1:26" ht="13.8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7"/>
      <c r="Y460" s="107"/>
      <c r="Z460" s="107"/>
    </row>
    <row r="461" spans="1:26" ht="13.8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7"/>
      <c r="Y461" s="107"/>
      <c r="Z461" s="107"/>
    </row>
    <row r="462" spans="1:26" ht="13.8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7"/>
      <c r="Y462" s="107"/>
      <c r="Z462" s="107"/>
    </row>
    <row r="463" spans="1:26" ht="13.8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7"/>
      <c r="Y463" s="107"/>
      <c r="Z463" s="107"/>
    </row>
    <row r="464" spans="1:26" ht="13.8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7"/>
      <c r="Y464" s="107"/>
      <c r="Z464" s="107"/>
    </row>
    <row r="465" spans="1:26" ht="13.8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7"/>
      <c r="Y465" s="107"/>
      <c r="Z465" s="107"/>
    </row>
    <row r="466" spans="1:26" ht="13.8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7"/>
      <c r="Y466" s="107"/>
      <c r="Z466" s="107"/>
    </row>
    <row r="467" spans="1:26" ht="13.8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7"/>
      <c r="Y467" s="107"/>
      <c r="Z467" s="107"/>
    </row>
    <row r="468" spans="1:26" ht="13.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7"/>
      <c r="Y468" s="107"/>
      <c r="Z468" s="107"/>
    </row>
    <row r="469" spans="1:26" ht="13.8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7"/>
      <c r="Y469" s="107"/>
      <c r="Z469" s="107"/>
    </row>
    <row r="470" spans="1:26" ht="13.8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7"/>
      <c r="Y470" s="107"/>
      <c r="Z470" s="107"/>
    </row>
    <row r="471" spans="1:26" ht="13.8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7"/>
      <c r="Y471" s="107"/>
      <c r="Z471" s="107"/>
    </row>
    <row r="472" spans="1:26" ht="13.8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7"/>
      <c r="Y472" s="107"/>
      <c r="Z472" s="107"/>
    </row>
    <row r="473" spans="1:26" ht="13.8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7"/>
      <c r="Y473" s="107"/>
      <c r="Z473" s="107"/>
    </row>
    <row r="474" spans="1:26" ht="13.8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7"/>
      <c r="Y474" s="107"/>
      <c r="Z474" s="107"/>
    </row>
    <row r="475" spans="1:26" ht="13.8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7"/>
      <c r="Y475" s="107"/>
      <c r="Z475" s="107"/>
    </row>
    <row r="476" spans="1:26" ht="13.8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7"/>
      <c r="Y476" s="107"/>
      <c r="Z476" s="107"/>
    </row>
    <row r="477" spans="1:26" ht="13.8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7"/>
      <c r="Y477" s="107"/>
      <c r="Z477" s="107"/>
    </row>
    <row r="478" spans="1:26" ht="13.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7"/>
      <c r="Y478" s="107"/>
      <c r="Z478" s="107"/>
    </row>
    <row r="479" spans="1:26" ht="13.8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7"/>
      <c r="Y479" s="107"/>
      <c r="Z479" s="107"/>
    </row>
    <row r="480" spans="1:26" ht="13.8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7"/>
      <c r="Y480" s="107"/>
      <c r="Z480" s="107"/>
    </row>
    <row r="481" spans="1:26" ht="13.8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7"/>
      <c r="Y481" s="107"/>
      <c r="Z481" s="107"/>
    </row>
    <row r="482" spans="1:26" ht="13.8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7"/>
      <c r="Y482" s="107"/>
      <c r="Z482" s="107"/>
    </row>
    <row r="483" spans="1:26" ht="13.8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7"/>
      <c r="Y483" s="107"/>
      <c r="Z483" s="107"/>
    </row>
    <row r="484" spans="1:26" ht="13.8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7"/>
      <c r="Y484" s="107"/>
      <c r="Z484" s="107"/>
    </row>
    <row r="485" spans="1:26" ht="13.8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7"/>
      <c r="Y485" s="107"/>
      <c r="Z485" s="107"/>
    </row>
    <row r="486" spans="1:26" ht="13.8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7"/>
      <c r="Y486" s="107"/>
      <c r="Z486" s="107"/>
    </row>
    <row r="487" spans="1:26" ht="13.8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7"/>
      <c r="Y487" s="107"/>
      <c r="Z487" s="107"/>
    </row>
    <row r="488" spans="1:26" ht="13.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7"/>
      <c r="Y488" s="107"/>
      <c r="Z488" s="107"/>
    </row>
    <row r="489" spans="1:26" ht="13.8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7"/>
      <c r="Y489" s="107"/>
      <c r="Z489" s="107"/>
    </row>
    <row r="490" spans="1:26" ht="13.8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7"/>
      <c r="Y490" s="107"/>
      <c r="Z490" s="107"/>
    </row>
    <row r="491" spans="1:26" ht="13.8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7"/>
      <c r="Y491" s="107"/>
      <c r="Z491" s="107"/>
    </row>
    <row r="492" spans="1:26" ht="13.8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7"/>
      <c r="Y492" s="107"/>
      <c r="Z492" s="107"/>
    </row>
    <row r="493" spans="1:26" ht="13.8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7"/>
      <c r="Y493" s="107"/>
      <c r="Z493" s="107"/>
    </row>
    <row r="494" spans="1:26" ht="13.8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7"/>
      <c r="Y494" s="107"/>
      <c r="Z494" s="107"/>
    </row>
    <row r="495" spans="1:26" ht="13.8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7"/>
      <c r="Y495" s="107"/>
      <c r="Z495" s="107"/>
    </row>
    <row r="496" spans="1:26" ht="13.8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7"/>
      <c r="Y496" s="107"/>
      <c r="Z496" s="107"/>
    </row>
    <row r="497" spans="1:26" ht="13.8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7"/>
      <c r="Y497" s="107"/>
      <c r="Z497" s="107"/>
    </row>
    <row r="498" spans="1:26" ht="13.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7"/>
      <c r="Y498" s="107"/>
      <c r="Z498" s="107"/>
    </row>
    <row r="499" spans="1:26" ht="13.8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7"/>
      <c r="Y499" s="107"/>
      <c r="Z499" s="107"/>
    </row>
    <row r="500" spans="1:26" ht="13.8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7"/>
      <c r="Y500" s="107"/>
      <c r="Z500" s="107"/>
    </row>
    <row r="501" spans="1:26" ht="13.8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7"/>
      <c r="Y501" s="107"/>
      <c r="Z501" s="107"/>
    </row>
    <row r="502" spans="1:26" ht="13.8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7"/>
      <c r="Y502" s="107"/>
      <c r="Z502" s="107"/>
    </row>
    <row r="503" spans="1:26" ht="13.8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7"/>
      <c r="Y503" s="107"/>
      <c r="Z503" s="107"/>
    </row>
    <row r="504" spans="1:26" ht="13.8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7"/>
      <c r="Y504" s="107"/>
      <c r="Z504" s="107"/>
    </row>
    <row r="505" spans="1:26" ht="13.8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7"/>
      <c r="Y505" s="107"/>
      <c r="Z505" s="107"/>
    </row>
    <row r="506" spans="1:26" ht="13.8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7"/>
      <c r="Y506" s="107"/>
      <c r="Z506" s="107"/>
    </row>
    <row r="507" spans="1:26" ht="13.8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7"/>
      <c r="Y507" s="107"/>
      <c r="Z507" s="107"/>
    </row>
    <row r="508" spans="1:26" ht="13.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7"/>
      <c r="Y508" s="107"/>
      <c r="Z508" s="107"/>
    </row>
    <row r="509" spans="1:26" ht="13.8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7"/>
      <c r="Y509" s="107"/>
      <c r="Z509" s="107"/>
    </row>
    <row r="510" spans="1:26" ht="13.8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7"/>
      <c r="Y510" s="107"/>
      <c r="Z510" s="107"/>
    </row>
    <row r="511" spans="1:26" ht="13.8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7"/>
      <c r="Y511" s="107"/>
      <c r="Z511" s="107"/>
    </row>
    <row r="512" spans="1:26" ht="13.8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7"/>
      <c r="Y512" s="107"/>
      <c r="Z512" s="107"/>
    </row>
    <row r="513" spans="1:26" ht="13.8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7"/>
      <c r="Y513" s="107"/>
      <c r="Z513" s="107"/>
    </row>
    <row r="514" spans="1:26" ht="13.8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7"/>
      <c r="Y514" s="107"/>
      <c r="Z514" s="107"/>
    </row>
    <row r="515" spans="1:26" ht="13.8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7"/>
      <c r="Y515" s="107"/>
      <c r="Z515" s="107"/>
    </row>
    <row r="516" spans="1:26" ht="13.8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7"/>
      <c r="Y516" s="107"/>
      <c r="Z516" s="107"/>
    </row>
    <row r="517" spans="1:26" ht="13.8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7"/>
      <c r="Y517" s="107"/>
      <c r="Z517" s="107"/>
    </row>
    <row r="518" spans="1:26" ht="13.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7"/>
      <c r="Y518" s="107"/>
      <c r="Z518" s="107"/>
    </row>
    <row r="519" spans="1:26" ht="13.8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7"/>
      <c r="Y519" s="107"/>
      <c r="Z519" s="107"/>
    </row>
    <row r="520" spans="1:26" ht="13.8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7"/>
      <c r="Y520" s="107"/>
      <c r="Z520" s="107"/>
    </row>
    <row r="521" spans="1:26" ht="13.8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7"/>
      <c r="Y521" s="107"/>
      <c r="Z521" s="107"/>
    </row>
    <row r="522" spans="1:26" ht="13.8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7"/>
      <c r="Y522" s="107"/>
      <c r="Z522" s="107"/>
    </row>
    <row r="523" spans="1:26" ht="13.8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7"/>
      <c r="Y523" s="107"/>
      <c r="Z523" s="107"/>
    </row>
    <row r="524" spans="1:26" ht="13.8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7"/>
      <c r="Y524" s="107"/>
      <c r="Z524" s="107"/>
    </row>
    <row r="525" spans="1:26" ht="13.8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7"/>
      <c r="Y525" s="107"/>
      <c r="Z525" s="107"/>
    </row>
    <row r="526" spans="1:26" ht="13.8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7"/>
      <c r="Y526" s="107"/>
      <c r="Z526" s="107"/>
    </row>
    <row r="527" spans="1:26" ht="13.8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7"/>
      <c r="Y527" s="107"/>
      <c r="Z527" s="107"/>
    </row>
    <row r="528" spans="1:26" ht="13.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7"/>
      <c r="Y528" s="107"/>
      <c r="Z528" s="107"/>
    </row>
    <row r="529" spans="1:26" ht="13.8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7"/>
      <c r="Y529" s="107"/>
      <c r="Z529" s="107"/>
    </row>
    <row r="530" spans="1:26" ht="13.8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7"/>
      <c r="Y530" s="107"/>
      <c r="Z530" s="107"/>
    </row>
    <row r="531" spans="1:26" ht="13.8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7"/>
      <c r="Y531" s="107"/>
      <c r="Z531" s="107"/>
    </row>
    <row r="532" spans="1:26" ht="13.8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7"/>
      <c r="Y532" s="107"/>
      <c r="Z532" s="107"/>
    </row>
    <row r="533" spans="1:26" ht="13.8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7"/>
      <c r="Y533" s="107"/>
      <c r="Z533" s="107"/>
    </row>
    <row r="534" spans="1:26" ht="13.8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7"/>
      <c r="Y534" s="107"/>
      <c r="Z534" s="107"/>
    </row>
    <row r="535" spans="1:26" ht="13.8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7"/>
      <c r="Y535" s="107"/>
      <c r="Z535" s="107"/>
    </row>
    <row r="536" spans="1:26" ht="13.8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7"/>
      <c r="Y536" s="107"/>
      <c r="Z536" s="107"/>
    </row>
    <row r="537" spans="1:26" ht="13.8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7"/>
      <c r="Y537" s="107"/>
      <c r="Z537" s="107"/>
    </row>
    <row r="538" spans="1:26" ht="13.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7"/>
      <c r="Y538" s="107"/>
      <c r="Z538" s="107"/>
    </row>
    <row r="539" spans="1:26" ht="13.8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7"/>
      <c r="Y539" s="107"/>
      <c r="Z539" s="107"/>
    </row>
    <row r="540" spans="1:26" ht="13.8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7"/>
      <c r="Y540" s="107"/>
      <c r="Z540" s="107"/>
    </row>
    <row r="541" spans="1:26" ht="13.8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7"/>
      <c r="Y541" s="107"/>
      <c r="Z541" s="107"/>
    </row>
    <row r="542" spans="1:26" ht="13.8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7"/>
      <c r="Y542" s="107"/>
      <c r="Z542" s="107"/>
    </row>
    <row r="543" spans="1:26" ht="13.8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7"/>
      <c r="Y543" s="107"/>
      <c r="Z543" s="107"/>
    </row>
    <row r="544" spans="1:26" ht="13.8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7"/>
      <c r="Y544" s="107"/>
      <c r="Z544" s="107"/>
    </row>
    <row r="545" spans="1:26" ht="13.8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7"/>
      <c r="Y545" s="107"/>
      <c r="Z545" s="107"/>
    </row>
    <row r="546" spans="1:26" ht="13.8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7"/>
      <c r="Y546" s="107"/>
      <c r="Z546" s="107"/>
    </row>
    <row r="547" spans="1:26" ht="13.8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7"/>
      <c r="Y547" s="107"/>
      <c r="Z547" s="107"/>
    </row>
    <row r="548" spans="1:26" ht="13.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7"/>
      <c r="Y548" s="107"/>
      <c r="Z548" s="107"/>
    </row>
    <row r="549" spans="1:26" ht="13.8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7"/>
      <c r="Y549" s="107"/>
      <c r="Z549" s="107"/>
    </row>
    <row r="550" spans="1:26" ht="13.8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7"/>
      <c r="Y550" s="107"/>
      <c r="Z550" s="107"/>
    </row>
    <row r="551" spans="1:26" ht="13.8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7"/>
      <c r="Y551" s="107"/>
      <c r="Z551" s="107"/>
    </row>
    <row r="552" spans="1:26" ht="13.8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7"/>
      <c r="Y552" s="107"/>
      <c r="Z552" s="107"/>
    </row>
    <row r="553" spans="1:26" ht="13.8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7"/>
      <c r="Y553" s="107"/>
      <c r="Z553" s="107"/>
    </row>
    <row r="554" spans="1:26" ht="13.8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7"/>
      <c r="Y554" s="107"/>
      <c r="Z554" s="107"/>
    </row>
    <row r="555" spans="1:26" ht="13.8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7"/>
      <c r="Y555" s="107"/>
      <c r="Z555" s="107"/>
    </row>
    <row r="556" spans="1:26" ht="13.8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7"/>
      <c r="Y556" s="107"/>
      <c r="Z556" s="107"/>
    </row>
    <row r="557" spans="1:26" ht="13.8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7"/>
      <c r="Y557" s="107"/>
      <c r="Z557" s="107"/>
    </row>
    <row r="558" spans="1:26" ht="13.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7"/>
      <c r="Y558" s="107"/>
      <c r="Z558" s="107"/>
    </row>
    <row r="559" spans="1:26" ht="13.8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7"/>
      <c r="Y559" s="107"/>
      <c r="Z559" s="107"/>
    </row>
    <row r="560" spans="1:26" ht="13.8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7"/>
      <c r="Y560" s="107"/>
      <c r="Z560" s="107"/>
    </row>
    <row r="561" spans="1:26" ht="13.8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7"/>
      <c r="Y561" s="107"/>
      <c r="Z561" s="107"/>
    </row>
    <row r="562" spans="1:26" ht="13.8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7"/>
      <c r="Y562" s="107"/>
      <c r="Z562" s="107"/>
    </row>
    <row r="563" spans="1:26" ht="13.8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7"/>
      <c r="Y563" s="107"/>
      <c r="Z563" s="107"/>
    </row>
    <row r="564" spans="1:26" ht="13.8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7"/>
      <c r="Y564" s="107"/>
      <c r="Z564" s="107"/>
    </row>
    <row r="565" spans="1:26" ht="13.8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7"/>
      <c r="Y565" s="107"/>
      <c r="Z565" s="107"/>
    </row>
    <row r="566" spans="1:26" ht="13.8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7"/>
      <c r="Y566" s="107"/>
      <c r="Z566" s="107"/>
    </row>
    <row r="567" spans="1:26" ht="13.8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7"/>
      <c r="Y567" s="107"/>
      <c r="Z567" s="107"/>
    </row>
    <row r="568" spans="1:26" ht="13.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7"/>
      <c r="Y568" s="107"/>
      <c r="Z568" s="107"/>
    </row>
    <row r="569" spans="1:26" ht="13.8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7"/>
      <c r="Y569" s="107"/>
      <c r="Z569" s="107"/>
    </row>
    <row r="570" spans="1:26" ht="13.8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7"/>
      <c r="Y570" s="107"/>
      <c r="Z570" s="107"/>
    </row>
    <row r="571" spans="1:26" ht="13.8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7"/>
      <c r="Y571" s="107"/>
      <c r="Z571" s="107"/>
    </row>
    <row r="572" spans="1:26" ht="13.8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7"/>
      <c r="Y572" s="107"/>
      <c r="Z572" s="107"/>
    </row>
    <row r="573" spans="1:26" ht="13.8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7"/>
      <c r="Y573" s="107"/>
      <c r="Z573" s="107"/>
    </row>
    <row r="574" spans="1:26" ht="13.8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7"/>
      <c r="Y574" s="107"/>
      <c r="Z574" s="107"/>
    </row>
    <row r="575" spans="1:26" ht="13.8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7"/>
      <c r="Y575" s="107"/>
      <c r="Z575" s="107"/>
    </row>
    <row r="576" spans="1:26" ht="13.8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7"/>
      <c r="Y576" s="107"/>
      <c r="Z576" s="107"/>
    </row>
    <row r="577" spans="1:26" ht="13.8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7"/>
      <c r="Y577" s="107"/>
      <c r="Z577" s="107"/>
    </row>
    <row r="578" spans="1:26" ht="13.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7"/>
      <c r="Y578" s="107"/>
      <c r="Z578" s="107"/>
    </row>
    <row r="579" spans="1:26" ht="13.8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7"/>
      <c r="Y579" s="107"/>
      <c r="Z579" s="107"/>
    </row>
    <row r="580" spans="1:26" ht="13.8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7"/>
      <c r="Y580" s="107"/>
      <c r="Z580" s="107"/>
    </row>
    <row r="581" spans="1:26" ht="13.8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7"/>
      <c r="Y581" s="107"/>
      <c r="Z581" s="107"/>
    </row>
    <row r="582" spans="1:26" ht="13.8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7"/>
      <c r="Y582" s="107"/>
      <c r="Z582" s="107"/>
    </row>
    <row r="583" spans="1:26" ht="13.8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7"/>
      <c r="Y583" s="107"/>
      <c r="Z583" s="107"/>
    </row>
    <row r="584" spans="1:26" ht="13.8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7"/>
      <c r="Y584" s="107"/>
      <c r="Z584" s="107"/>
    </row>
    <row r="585" spans="1:26" ht="13.8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7"/>
      <c r="Y585" s="107"/>
      <c r="Z585" s="107"/>
    </row>
    <row r="586" spans="1:26" ht="13.8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7"/>
      <c r="Y586" s="107"/>
      <c r="Z586" s="107"/>
    </row>
    <row r="587" spans="1:26" ht="13.8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7"/>
      <c r="Y587" s="107"/>
      <c r="Z587" s="107"/>
    </row>
    <row r="588" spans="1:26" ht="13.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7"/>
      <c r="Y588" s="107"/>
      <c r="Z588" s="107"/>
    </row>
    <row r="589" spans="1:26" ht="13.8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7"/>
      <c r="Y589" s="107"/>
      <c r="Z589" s="107"/>
    </row>
    <row r="590" spans="1:26" ht="13.8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7"/>
      <c r="Y590" s="107"/>
      <c r="Z590" s="107"/>
    </row>
    <row r="591" spans="1:26" ht="13.8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7"/>
      <c r="Y591" s="107"/>
      <c r="Z591" s="107"/>
    </row>
    <row r="592" spans="1:26" ht="13.8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7"/>
      <c r="Y592" s="107"/>
      <c r="Z592" s="107"/>
    </row>
    <row r="593" spans="1:26" ht="13.8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7"/>
      <c r="Y593" s="107"/>
      <c r="Z593" s="107"/>
    </row>
    <row r="594" spans="1:26" ht="13.8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7"/>
      <c r="Y594" s="107"/>
      <c r="Z594" s="107"/>
    </row>
    <row r="595" spans="1:26" ht="13.8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7"/>
      <c r="Y595" s="107"/>
      <c r="Z595" s="107"/>
    </row>
    <row r="596" spans="1:26" ht="13.8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7"/>
      <c r="Y596" s="107"/>
      <c r="Z596" s="107"/>
    </row>
    <row r="597" spans="1:26" ht="13.8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7"/>
      <c r="Y597" s="107"/>
      <c r="Z597" s="107"/>
    </row>
    <row r="598" spans="1:26" ht="13.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7"/>
      <c r="Y598" s="107"/>
      <c r="Z598" s="107"/>
    </row>
    <row r="599" spans="1:26" ht="13.8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7"/>
      <c r="Y599" s="107"/>
      <c r="Z599" s="107"/>
    </row>
    <row r="600" spans="1:26" ht="13.8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7"/>
      <c r="Y600" s="107"/>
      <c r="Z600" s="107"/>
    </row>
    <row r="601" spans="1:26" ht="13.8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7"/>
      <c r="Y601" s="107"/>
      <c r="Z601" s="107"/>
    </row>
    <row r="602" spans="1:26" ht="13.8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7"/>
      <c r="Y602" s="107"/>
      <c r="Z602" s="107"/>
    </row>
    <row r="603" spans="1:26" ht="13.8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7"/>
      <c r="Y603" s="107"/>
      <c r="Z603" s="107"/>
    </row>
    <row r="604" spans="1:26" ht="13.8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7"/>
      <c r="Y604" s="107"/>
      <c r="Z604" s="107"/>
    </row>
    <row r="605" spans="1:26" ht="13.8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7"/>
      <c r="Y605" s="107"/>
      <c r="Z605" s="107"/>
    </row>
    <row r="606" spans="1:26" ht="13.8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7"/>
      <c r="Y606" s="107"/>
      <c r="Z606" s="107"/>
    </row>
    <row r="607" spans="1:26" ht="13.8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7"/>
      <c r="Y607" s="107"/>
      <c r="Z607" s="107"/>
    </row>
    <row r="608" spans="1:26" ht="13.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7"/>
      <c r="Y608" s="107"/>
      <c r="Z608" s="107"/>
    </row>
    <row r="609" spans="1:26" ht="13.8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7"/>
      <c r="Y609" s="107"/>
      <c r="Z609" s="107"/>
    </row>
    <row r="610" spans="1:26" ht="13.8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7"/>
      <c r="Y610" s="107"/>
      <c r="Z610" s="107"/>
    </row>
    <row r="611" spans="1:26" ht="13.8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7"/>
      <c r="Y611" s="107"/>
      <c r="Z611" s="107"/>
    </row>
    <row r="612" spans="1:26" ht="13.8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7"/>
      <c r="Y612" s="107"/>
      <c r="Z612" s="107"/>
    </row>
    <row r="613" spans="1:26" ht="13.8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7"/>
      <c r="Y613" s="107"/>
      <c r="Z613" s="107"/>
    </row>
    <row r="614" spans="1:26" ht="13.8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7"/>
      <c r="Y614" s="107"/>
      <c r="Z614" s="107"/>
    </row>
    <row r="615" spans="1:26" ht="13.8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7"/>
      <c r="Y615" s="107"/>
      <c r="Z615" s="107"/>
    </row>
    <row r="616" spans="1:26" ht="13.8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7"/>
      <c r="Y616" s="107"/>
      <c r="Z616" s="107"/>
    </row>
    <row r="617" spans="1:26" ht="13.8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7"/>
      <c r="Y617" s="107"/>
      <c r="Z617" s="107"/>
    </row>
    <row r="618" spans="1:26" ht="13.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7"/>
      <c r="Y618" s="107"/>
      <c r="Z618" s="107"/>
    </row>
    <row r="619" spans="1:26" ht="13.8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7"/>
      <c r="Y619" s="107"/>
      <c r="Z619" s="107"/>
    </row>
    <row r="620" spans="1:26" ht="13.8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7"/>
      <c r="Y620" s="107"/>
      <c r="Z620" s="107"/>
    </row>
    <row r="621" spans="1:26" ht="13.8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7"/>
      <c r="Y621" s="107"/>
      <c r="Z621" s="107"/>
    </row>
    <row r="622" spans="1:26" ht="13.8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7"/>
      <c r="Y622" s="107"/>
      <c r="Z622" s="107"/>
    </row>
    <row r="623" spans="1:26" ht="13.8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7"/>
      <c r="Y623" s="107"/>
      <c r="Z623" s="107"/>
    </row>
    <row r="624" spans="1:26" ht="13.8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7"/>
      <c r="Y624" s="107"/>
      <c r="Z624" s="107"/>
    </row>
    <row r="625" spans="1:26" ht="13.8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7"/>
      <c r="Y625" s="107"/>
      <c r="Z625" s="107"/>
    </row>
    <row r="626" spans="1:26" ht="13.8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7"/>
      <c r="Y626" s="107"/>
      <c r="Z626" s="107"/>
    </row>
    <row r="627" spans="1:26" ht="13.8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7"/>
      <c r="Y627" s="107"/>
      <c r="Z627" s="107"/>
    </row>
    <row r="628" spans="1:26" ht="13.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7"/>
      <c r="Y628" s="107"/>
      <c r="Z628" s="107"/>
    </row>
    <row r="629" spans="1:26" ht="13.8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7"/>
      <c r="Y629" s="107"/>
      <c r="Z629" s="107"/>
    </row>
    <row r="630" spans="1:26" ht="13.8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7"/>
      <c r="Y630" s="107"/>
      <c r="Z630" s="107"/>
    </row>
    <row r="631" spans="1:26" ht="13.8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7"/>
      <c r="Y631" s="107"/>
      <c r="Z631" s="107"/>
    </row>
    <row r="632" spans="1:26" ht="13.8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7"/>
      <c r="Y632" s="107"/>
      <c r="Z632" s="107"/>
    </row>
    <row r="633" spans="1:26" ht="13.8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7"/>
      <c r="Y633" s="107"/>
      <c r="Z633" s="107"/>
    </row>
    <row r="634" spans="1:26" ht="13.8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7"/>
      <c r="Y634" s="107"/>
      <c r="Z634" s="107"/>
    </row>
    <row r="635" spans="1:26" ht="13.8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7"/>
      <c r="Y635" s="107"/>
      <c r="Z635" s="107"/>
    </row>
    <row r="636" spans="1:26" ht="13.8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7"/>
      <c r="Y636" s="107"/>
      <c r="Z636" s="107"/>
    </row>
    <row r="637" spans="1:26" ht="13.8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7"/>
      <c r="Y637" s="107"/>
      <c r="Z637" s="107"/>
    </row>
    <row r="638" spans="1:26" ht="13.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7"/>
      <c r="Y638" s="107"/>
      <c r="Z638" s="107"/>
    </row>
    <row r="639" spans="1:26" ht="13.8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7"/>
      <c r="Y639" s="107"/>
      <c r="Z639" s="107"/>
    </row>
    <row r="640" spans="1:26" ht="13.8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7"/>
      <c r="Y640" s="107"/>
      <c r="Z640" s="107"/>
    </row>
    <row r="641" spans="1:26" ht="13.8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7"/>
      <c r="Y641" s="107"/>
      <c r="Z641" s="107"/>
    </row>
    <row r="642" spans="1:26" ht="13.8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7"/>
      <c r="Y642" s="107"/>
      <c r="Z642" s="107"/>
    </row>
    <row r="643" spans="1:26" ht="13.8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7"/>
      <c r="Y643" s="107"/>
      <c r="Z643" s="107"/>
    </row>
    <row r="644" spans="1:26" ht="13.8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7"/>
      <c r="Y644" s="107"/>
      <c r="Z644" s="107"/>
    </row>
    <row r="645" spans="1:26" ht="13.8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7"/>
      <c r="Y645" s="107"/>
      <c r="Z645" s="107"/>
    </row>
    <row r="646" spans="1:26" ht="13.8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7"/>
      <c r="Y646" s="107"/>
      <c r="Z646" s="107"/>
    </row>
    <row r="647" spans="1:26" ht="13.8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7"/>
      <c r="Y647" s="107"/>
      <c r="Z647" s="107"/>
    </row>
    <row r="648" spans="1:26" ht="13.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7"/>
      <c r="Y648" s="107"/>
      <c r="Z648" s="107"/>
    </row>
    <row r="649" spans="1:26" ht="13.8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7"/>
      <c r="Y649" s="107"/>
      <c r="Z649" s="107"/>
    </row>
    <row r="650" spans="1:26" ht="13.8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7"/>
      <c r="Y650" s="107"/>
      <c r="Z650" s="107"/>
    </row>
    <row r="651" spans="1:26" ht="13.8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7"/>
      <c r="Y651" s="107"/>
      <c r="Z651" s="107"/>
    </row>
    <row r="652" spans="1:26" ht="13.8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7"/>
      <c r="Y652" s="107"/>
      <c r="Z652" s="107"/>
    </row>
    <row r="653" spans="1:26" ht="13.8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7"/>
      <c r="Y653" s="107"/>
      <c r="Z653" s="107"/>
    </row>
    <row r="654" spans="1:26" ht="13.8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7"/>
      <c r="Y654" s="107"/>
      <c r="Z654" s="107"/>
    </row>
    <row r="655" spans="1:26" ht="13.8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7"/>
      <c r="Y655" s="107"/>
      <c r="Z655" s="107"/>
    </row>
    <row r="656" spans="1:26" ht="13.8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7"/>
      <c r="Y656" s="107"/>
      <c r="Z656" s="107"/>
    </row>
    <row r="657" spans="1:26" ht="13.8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7"/>
      <c r="Y657" s="107"/>
      <c r="Z657" s="107"/>
    </row>
    <row r="658" spans="1:26" ht="13.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7"/>
      <c r="Y658" s="107"/>
      <c r="Z658" s="107"/>
    </row>
    <row r="659" spans="1:26" ht="13.8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7"/>
      <c r="Y659" s="107"/>
      <c r="Z659" s="107"/>
    </row>
    <row r="660" spans="1:26" ht="13.8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7"/>
      <c r="Y660" s="107"/>
      <c r="Z660" s="107"/>
    </row>
    <row r="661" spans="1:26" ht="13.8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7"/>
      <c r="Y661" s="107"/>
      <c r="Z661" s="107"/>
    </row>
    <row r="662" spans="1:26" ht="13.8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7"/>
      <c r="Y662" s="107"/>
      <c r="Z662" s="107"/>
    </row>
    <row r="663" spans="1:26" ht="13.8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7"/>
      <c r="Y663" s="107"/>
      <c r="Z663" s="107"/>
    </row>
    <row r="664" spans="1:26" ht="13.8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7"/>
      <c r="Y664" s="107"/>
      <c r="Z664" s="107"/>
    </row>
    <row r="665" spans="1:26" ht="13.8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7"/>
      <c r="Y665" s="107"/>
      <c r="Z665" s="107"/>
    </row>
    <row r="666" spans="1:26" ht="13.8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7"/>
      <c r="Y666" s="107"/>
      <c r="Z666" s="107"/>
    </row>
    <row r="667" spans="1:26" ht="13.8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7"/>
      <c r="Y667" s="107"/>
      <c r="Z667" s="107"/>
    </row>
    <row r="668" spans="1:26" ht="13.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7"/>
      <c r="Y668" s="107"/>
      <c r="Z668" s="107"/>
    </row>
    <row r="669" spans="1:26" ht="13.8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7"/>
      <c r="Y669" s="107"/>
      <c r="Z669" s="107"/>
    </row>
    <row r="670" spans="1:26" ht="13.8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7"/>
      <c r="Y670" s="107"/>
      <c r="Z670" s="107"/>
    </row>
    <row r="671" spans="1:26" ht="13.8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7"/>
      <c r="Y671" s="107"/>
      <c r="Z671" s="107"/>
    </row>
    <row r="672" spans="1:26" ht="13.8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7"/>
      <c r="Y672" s="107"/>
      <c r="Z672" s="107"/>
    </row>
    <row r="673" spans="1:26" ht="13.8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7"/>
      <c r="Y673" s="107"/>
      <c r="Z673" s="107"/>
    </row>
    <row r="674" spans="1:26" ht="13.8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7"/>
      <c r="Y674" s="107"/>
      <c r="Z674" s="107"/>
    </row>
    <row r="675" spans="1:26" ht="13.8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7"/>
      <c r="Y675" s="107"/>
      <c r="Z675" s="107"/>
    </row>
    <row r="676" spans="1:26" ht="13.8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7"/>
      <c r="Y676" s="107"/>
      <c r="Z676" s="107"/>
    </row>
    <row r="677" spans="1:26" ht="13.8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7"/>
      <c r="Y677" s="107"/>
      <c r="Z677" s="107"/>
    </row>
    <row r="678" spans="1:26" ht="13.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7"/>
      <c r="Y678" s="107"/>
      <c r="Z678" s="107"/>
    </row>
    <row r="679" spans="1:26" ht="13.8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7"/>
      <c r="Y679" s="107"/>
      <c r="Z679" s="107"/>
    </row>
    <row r="680" spans="1:26" ht="13.8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7"/>
      <c r="Y680" s="107"/>
      <c r="Z680" s="107"/>
    </row>
    <row r="681" spans="1:26" ht="13.8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7"/>
      <c r="Y681" s="107"/>
      <c r="Z681" s="107"/>
    </row>
    <row r="682" spans="1:26" ht="13.8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7"/>
      <c r="Y682" s="107"/>
      <c r="Z682" s="107"/>
    </row>
    <row r="683" spans="1:26" ht="13.8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7"/>
      <c r="Y683" s="107"/>
      <c r="Z683" s="107"/>
    </row>
    <row r="684" spans="1:26" ht="13.8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7"/>
      <c r="Y684" s="107"/>
      <c r="Z684" s="107"/>
    </row>
    <row r="685" spans="1:26" ht="13.8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7"/>
      <c r="Y685" s="107"/>
      <c r="Z685" s="107"/>
    </row>
    <row r="686" spans="1:26" ht="13.8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7"/>
      <c r="Y686" s="107"/>
      <c r="Z686" s="107"/>
    </row>
    <row r="687" spans="1:26" ht="13.8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7"/>
      <c r="Y687" s="107"/>
      <c r="Z687" s="107"/>
    </row>
    <row r="688" spans="1:26" ht="13.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7"/>
      <c r="Y688" s="107"/>
      <c r="Z688" s="107"/>
    </row>
    <row r="689" spans="1:26" ht="13.8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7"/>
      <c r="Y689" s="107"/>
      <c r="Z689" s="107"/>
    </row>
    <row r="690" spans="1:26" ht="13.8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7"/>
      <c r="Y690" s="107"/>
      <c r="Z690" s="107"/>
    </row>
    <row r="691" spans="1:26" ht="13.8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7"/>
      <c r="Y691" s="107"/>
      <c r="Z691" s="107"/>
    </row>
    <row r="692" spans="1:26" ht="13.8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7"/>
      <c r="Y692" s="107"/>
      <c r="Z692" s="107"/>
    </row>
    <row r="693" spans="1:26" ht="13.8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7"/>
      <c r="Y693" s="107"/>
      <c r="Z693" s="107"/>
    </row>
    <row r="694" spans="1:26" ht="13.8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7"/>
      <c r="Y694" s="107"/>
      <c r="Z694" s="107"/>
    </row>
    <row r="695" spans="1:26" ht="13.8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7"/>
      <c r="Y695" s="107"/>
      <c r="Z695" s="107"/>
    </row>
    <row r="696" spans="1:26" ht="13.8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7"/>
      <c r="Y696" s="107"/>
      <c r="Z696" s="107"/>
    </row>
    <row r="697" spans="1:26" ht="13.8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7"/>
      <c r="Y697" s="107"/>
      <c r="Z697" s="107"/>
    </row>
    <row r="698" spans="1:26" ht="13.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7"/>
      <c r="Y698" s="107"/>
      <c r="Z698" s="107"/>
    </row>
    <row r="699" spans="1:26" ht="13.8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7"/>
      <c r="Y699" s="107"/>
      <c r="Z699" s="107"/>
    </row>
    <row r="700" spans="1:26" ht="13.8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7"/>
      <c r="Y700" s="107"/>
      <c r="Z700" s="107"/>
    </row>
    <row r="701" spans="1:26" ht="13.8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7"/>
      <c r="Y701" s="107"/>
      <c r="Z701" s="107"/>
    </row>
    <row r="702" spans="1:26" ht="13.8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7"/>
      <c r="Y702" s="107"/>
      <c r="Z702" s="107"/>
    </row>
    <row r="703" spans="1:26" ht="13.8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7"/>
      <c r="Y703" s="107"/>
      <c r="Z703" s="107"/>
    </row>
    <row r="704" spans="1:26" ht="13.8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7"/>
      <c r="Y704" s="107"/>
      <c r="Z704" s="107"/>
    </row>
    <row r="705" spans="1:26" ht="13.8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7"/>
      <c r="Y705" s="107"/>
      <c r="Z705" s="107"/>
    </row>
    <row r="706" spans="1:26" ht="13.8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7"/>
      <c r="Y706" s="107"/>
      <c r="Z706" s="107"/>
    </row>
    <row r="707" spans="1:26" ht="13.8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7"/>
      <c r="Y707" s="107"/>
      <c r="Z707" s="107"/>
    </row>
    <row r="708" spans="1:26" ht="13.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7"/>
      <c r="Y708" s="107"/>
      <c r="Z708" s="107"/>
    </row>
    <row r="709" spans="1:26" ht="13.8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7"/>
      <c r="Y709" s="107"/>
      <c r="Z709" s="107"/>
    </row>
    <row r="710" spans="1:26" ht="13.8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7"/>
      <c r="Y710" s="107"/>
      <c r="Z710" s="107"/>
    </row>
    <row r="711" spans="1:26" ht="13.8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7"/>
      <c r="Y711" s="107"/>
      <c r="Z711" s="107"/>
    </row>
    <row r="712" spans="1:26" ht="13.8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7"/>
      <c r="Y712" s="107"/>
      <c r="Z712" s="107"/>
    </row>
    <row r="713" spans="1:26" ht="13.8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7"/>
      <c r="Y713" s="107"/>
      <c r="Z713" s="107"/>
    </row>
    <row r="714" spans="1:26" ht="13.8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7"/>
      <c r="Y714" s="107"/>
      <c r="Z714" s="107"/>
    </row>
    <row r="715" spans="1:26" ht="13.8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7"/>
      <c r="Y715" s="107"/>
      <c r="Z715" s="107"/>
    </row>
    <row r="716" spans="1:26" ht="13.8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7"/>
      <c r="Y716" s="107"/>
      <c r="Z716" s="107"/>
    </row>
    <row r="717" spans="1:26" ht="13.8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7"/>
      <c r="Y717" s="107"/>
      <c r="Z717" s="107"/>
    </row>
    <row r="718" spans="1:26" ht="13.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7"/>
      <c r="Y718" s="107"/>
      <c r="Z718" s="107"/>
    </row>
    <row r="719" spans="1:26" ht="13.8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7"/>
      <c r="Y719" s="107"/>
      <c r="Z719" s="107"/>
    </row>
    <row r="720" spans="1:26" ht="13.8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7"/>
      <c r="Y720" s="107"/>
      <c r="Z720" s="107"/>
    </row>
    <row r="721" spans="1:26" ht="13.8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7"/>
      <c r="Y721" s="107"/>
      <c r="Z721" s="107"/>
    </row>
    <row r="722" spans="1:26" ht="13.8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7"/>
      <c r="Y722" s="107"/>
      <c r="Z722" s="107"/>
    </row>
    <row r="723" spans="1:26" ht="13.8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7"/>
      <c r="Y723" s="107"/>
      <c r="Z723" s="107"/>
    </row>
    <row r="724" spans="1:26" ht="13.8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7"/>
      <c r="Y724" s="107"/>
      <c r="Z724" s="107"/>
    </row>
    <row r="725" spans="1:26" ht="13.8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7"/>
      <c r="Y725" s="107"/>
      <c r="Z725" s="107"/>
    </row>
    <row r="726" spans="1:26" ht="13.8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7"/>
      <c r="Y726" s="107"/>
      <c r="Z726" s="107"/>
    </row>
    <row r="727" spans="1:26" ht="13.8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7"/>
      <c r="Y727" s="107"/>
      <c r="Z727" s="107"/>
    </row>
    <row r="728" spans="1:26" ht="13.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7"/>
      <c r="Y728" s="107"/>
      <c r="Z728" s="107"/>
    </row>
    <row r="729" spans="1:26" ht="13.8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7"/>
      <c r="Y729" s="107"/>
      <c r="Z729" s="107"/>
    </row>
    <row r="730" spans="1:26" ht="13.8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7"/>
      <c r="Y730" s="107"/>
      <c r="Z730" s="107"/>
    </row>
    <row r="731" spans="1:26" ht="13.8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7"/>
      <c r="Y731" s="107"/>
      <c r="Z731" s="107"/>
    </row>
    <row r="732" spans="1:26" ht="13.8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7"/>
      <c r="Y732" s="107"/>
      <c r="Z732" s="107"/>
    </row>
    <row r="733" spans="1:26" ht="13.8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7"/>
      <c r="Y733" s="107"/>
      <c r="Z733" s="107"/>
    </row>
    <row r="734" spans="1:26" ht="13.8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7"/>
      <c r="Y734" s="107"/>
      <c r="Z734" s="107"/>
    </row>
    <row r="735" spans="1:26" ht="13.8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7"/>
      <c r="Y735" s="107"/>
      <c r="Z735" s="107"/>
    </row>
    <row r="736" spans="1:26" ht="13.8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7"/>
      <c r="Y736" s="107"/>
      <c r="Z736" s="107"/>
    </row>
    <row r="737" spans="1:26" ht="13.8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7"/>
      <c r="Y737" s="107"/>
      <c r="Z737" s="107"/>
    </row>
    <row r="738" spans="1:26" ht="13.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7"/>
      <c r="Y738" s="107"/>
      <c r="Z738" s="107"/>
    </row>
    <row r="739" spans="1:26" ht="13.8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7"/>
      <c r="Y739" s="107"/>
      <c r="Z739" s="107"/>
    </row>
    <row r="740" spans="1:26" ht="13.8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7"/>
      <c r="Y740" s="107"/>
      <c r="Z740" s="107"/>
    </row>
    <row r="741" spans="1:26" ht="13.8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7"/>
      <c r="Y741" s="107"/>
      <c r="Z741" s="107"/>
    </row>
    <row r="742" spans="1:26" ht="13.8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7"/>
      <c r="Y742" s="107"/>
      <c r="Z742" s="107"/>
    </row>
    <row r="743" spans="1:26" ht="13.8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7"/>
      <c r="Y743" s="107"/>
      <c r="Z743" s="107"/>
    </row>
    <row r="744" spans="1:26" ht="13.8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7"/>
      <c r="Y744" s="107"/>
      <c r="Z744" s="107"/>
    </row>
    <row r="745" spans="1:26" ht="13.8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7"/>
      <c r="Y745" s="107"/>
      <c r="Z745" s="107"/>
    </row>
    <row r="746" spans="1:26" ht="13.8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7"/>
      <c r="Y746" s="107"/>
      <c r="Z746" s="107"/>
    </row>
    <row r="747" spans="1:26" ht="13.8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7"/>
      <c r="Y747" s="107"/>
      <c r="Z747" s="107"/>
    </row>
    <row r="748" spans="1:26" ht="13.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7"/>
      <c r="Y748" s="107"/>
      <c r="Z748" s="107"/>
    </row>
    <row r="749" spans="1:26" ht="13.8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7"/>
      <c r="Y749" s="107"/>
      <c r="Z749" s="107"/>
    </row>
    <row r="750" spans="1:26" ht="13.8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7"/>
      <c r="Y750" s="107"/>
      <c r="Z750" s="107"/>
    </row>
    <row r="751" spans="1:26" ht="13.8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7"/>
      <c r="Y751" s="107"/>
      <c r="Z751" s="107"/>
    </row>
    <row r="752" spans="1:26" ht="13.8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7"/>
      <c r="Y752" s="107"/>
      <c r="Z752" s="107"/>
    </row>
    <row r="753" spans="1:26" ht="13.8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7"/>
      <c r="Y753" s="107"/>
      <c r="Z753" s="107"/>
    </row>
    <row r="754" spans="1:26" ht="13.8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7"/>
      <c r="Y754" s="107"/>
      <c r="Z754" s="107"/>
    </row>
    <row r="755" spans="1:26" ht="13.8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7"/>
      <c r="Y755" s="107"/>
      <c r="Z755" s="107"/>
    </row>
    <row r="756" spans="1:26" ht="13.8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7"/>
      <c r="Y756" s="107"/>
      <c r="Z756" s="107"/>
    </row>
    <row r="757" spans="1:26" ht="13.8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7"/>
      <c r="Y757" s="107"/>
      <c r="Z757" s="107"/>
    </row>
    <row r="758" spans="1:26" ht="13.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7"/>
      <c r="Y758" s="107"/>
      <c r="Z758" s="107"/>
    </row>
    <row r="759" spans="1:26" ht="13.8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7"/>
      <c r="Y759" s="107"/>
      <c r="Z759" s="107"/>
    </row>
    <row r="760" spans="1:26" ht="13.8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7"/>
      <c r="Y760" s="107"/>
      <c r="Z760" s="107"/>
    </row>
    <row r="761" spans="1:26" ht="13.8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7"/>
      <c r="Y761" s="107"/>
      <c r="Z761" s="107"/>
    </row>
    <row r="762" spans="1:26" ht="13.8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7"/>
      <c r="Y762" s="107"/>
      <c r="Z762" s="107"/>
    </row>
    <row r="763" spans="1:26" ht="13.8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7"/>
      <c r="Y763" s="107"/>
      <c r="Z763" s="107"/>
    </row>
    <row r="764" spans="1:26" ht="13.8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7"/>
      <c r="Y764" s="107"/>
      <c r="Z764" s="107"/>
    </row>
    <row r="765" spans="1:26" ht="13.8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7"/>
      <c r="Y765" s="107"/>
      <c r="Z765" s="107"/>
    </row>
    <row r="766" spans="1:26" ht="13.8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7"/>
      <c r="Y766" s="107"/>
      <c r="Z766" s="107"/>
    </row>
    <row r="767" spans="1:26" ht="13.8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7"/>
      <c r="Y767" s="107"/>
      <c r="Z767" s="107"/>
    </row>
    <row r="768" spans="1:26" ht="13.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7"/>
      <c r="Y768" s="107"/>
      <c r="Z768" s="107"/>
    </row>
    <row r="769" spans="1:26" ht="13.8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7"/>
      <c r="Y769" s="107"/>
      <c r="Z769" s="107"/>
    </row>
    <row r="770" spans="1:26" ht="13.8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7"/>
      <c r="Y770" s="107"/>
      <c r="Z770" s="107"/>
    </row>
    <row r="771" spans="1:26" ht="13.8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7"/>
      <c r="Y771" s="107"/>
      <c r="Z771" s="107"/>
    </row>
    <row r="772" spans="1:26" ht="13.8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7"/>
      <c r="Y772" s="107"/>
      <c r="Z772" s="107"/>
    </row>
    <row r="773" spans="1:26" ht="13.8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7"/>
      <c r="Y773" s="107"/>
      <c r="Z773" s="107"/>
    </row>
    <row r="774" spans="1:26" ht="13.8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7"/>
      <c r="Y774" s="107"/>
      <c r="Z774" s="107"/>
    </row>
    <row r="775" spans="1:26" ht="13.8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7"/>
      <c r="Y775" s="107"/>
      <c r="Z775" s="107"/>
    </row>
    <row r="776" spans="1:26" ht="13.8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7"/>
      <c r="Y776" s="107"/>
      <c r="Z776" s="107"/>
    </row>
    <row r="777" spans="1:26" ht="13.8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7"/>
      <c r="Y777" s="107"/>
      <c r="Z777" s="107"/>
    </row>
    <row r="778" spans="1:26" ht="13.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7"/>
      <c r="Y778" s="107"/>
      <c r="Z778" s="107"/>
    </row>
    <row r="779" spans="1:26" ht="13.8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7"/>
      <c r="Y779" s="107"/>
      <c r="Z779" s="107"/>
    </row>
    <row r="780" spans="1:26" ht="13.8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7"/>
      <c r="Y780" s="107"/>
      <c r="Z780" s="107"/>
    </row>
    <row r="781" spans="1:26" ht="13.8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7"/>
      <c r="Y781" s="107"/>
      <c r="Z781" s="107"/>
    </row>
    <row r="782" spans="1:26" ht="13.8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7"/>
      <c r="Y782" s="107"/>
      <c r="Z782" s="107"/>
    </row>
    <row r="783" spans="1:26" ht="13.8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7"/>
      <c r="Y783" s="107"/>
      <c r="Z783" s="107"/>
    </row>
    <row r="784" spans="1:26" ht="13.8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7"/>
      <c r="Y784" s="107"/>
      <c r="Z784" s="107"/>
    </row>
    <row r="785" spans="1:26" ht="13.8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7"/>
      <c r="Y785" s="107"/>
      <c r="Z785" s="107"/>
    </row>
    <row r="786" spans="1:26" ht="13.8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7"/>
      <c r="Y786" s="107"/>
      <c r="Z786" s="107"/>
    </row>
    <row r="787" spans="1:26" ht="13.8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7"/>
      <c r="Y787" s="107"/>
      <c r="Z787" s="107"/>
    </row>
    <row r="788" spans="1:26" ht="13.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7"/>
      <c r="Y788" s="107"/>
      <c r="Z788" s="107"/>
    </row>
    <row r="789" spans="1:26" ht="13.8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7"/>
      <c r="Y789" s="107"/>
      <c r="Z789" s="107"/>
    </row>
    <row r="790" spans="1:26" ht="13.8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7"/>
      <c r="Y790" s="107"/>
      <c r="Z790" s="107"/>
    </row>
    <row r="791" spans="1:26" ht="13.8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7"/>
      <c r="Y791" s="107"/>
      <c r="Z791" s="107"/>
    </row>
    <row r="792" spans="1:26" ht="13.8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7"/>
      <c r="Y792" s="107"/>
      <c r="Z792" s="107"/>
    </row>
    <row r="793" spans="1:26" ht="13.8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7"/>
      <c r="Y793" s="107"/>
      <c r="Z793" s="107"/>
    </row>
    <row r="794" spans="1:26" ht="13.8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7"/>
      <c r="Y794" s="107"/>
      <c r="Z794" s="107"/>
    </row>
    <row r="795" spans="1:26" ht="13.8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7"/>
      <c r="Y795" s="107"/>
      <c r="Z795" s="107"/>
    </row>
    <row r="796" spans="1:26" ht="13.8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7"/>
      <c r="Y796" s="107"/>
      <c r="Z796" s="107"/>
    </row>
    <row r="797" spans="1:26" ht="13.8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7"/>
      <c r="Y797" s="107"/>
      <c r="Z797" s="107"/>
    </row>
    <row r="798" spans="1:26" ht="13.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7"/>
      <c r="Y798" s="107"/>
      <c r="Z798" s="107"/>
    </row>
    <row r="799" spans="1:26" ht="13.8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7"/>
      <c r="Y799" s="107"/>
      <c r="Z799" s="107"/>
    </row>
    <row r="800" spans="1:26" ht="13.8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7"/>
      <c r="Y800" s="107"/>
      <c r="Z800" s="107"/>
    </row>
    <row r="801" spans="1:26" ht="13.8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7"/>
      <c r="Y801" s="107"/>
      <c r="Z801" s="107"/>
    </row>
    <row r="802" spans="1:26" ht="13.8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7"/>
      <c r="Y802" s="107"/>
      <c r="Z802" s="107"/>
    </row>
    <row r="803" spans="1:26" ht="13.8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7"/>
      <c r="Y803" s="107"/>
      <c r="Z803" s="107"/>
    </row>
    <row r="804" spans="1:26" ht="13.8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7"/>
      <c r="Y804" s="107"/>
      <c r="Z804" s="107"/>
    </row>
    <row r="805" spans="1:26" ht="13.8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7"/>
      <c r="Y805" s="107"/>
      <c r="Z805" s="107"/>
    </row>
    <row r="806" spans="1:26" ht="13.8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7"/>
      <c r="Y806" s="107"/>
      <c r="Z806" s="107"/>
    </row>
    <row r="807" spans="1:26" ht="13.8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7"/>
      <c r="Y807" s="107"/>
      <c r="Z807" s="107"/>
    </row>
    <row r="808" spans="1:26" ht="13.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7"/>
      <c r="Y808" s="107"/>
      <c r="Z808" s="107"/>
    </row>
    <row r="809" spans="1:26" ht="13.8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7"/>
      <c r="Y809" s="107"/>
      <c r="Z809" s="107"/>
    </row>
    <row r="810" spans="1:26" ht="13.8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7"/>
      <c r="Y810" s="107"/>
      <c r="Z810" s="107"/>
    </row>
    <row r="811" spans="1:26" ht="13.8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7"/>
      <c r="Y811" s="107"/>
      <c r="Z811" s="107"/>
    </row>
    <row r="812" spans="1:26" ht="13.8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7"/>
      <c r="Y812" s="107"/>
      <c r="Z812" s="107"/>
    </row>
    <row r="813" spans="1:26" ht="13.8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7"/>
      <c r="Y813" s="107"/>
      <c r="Z813" s="107"/>
    </row>
    <row r="814" spans="1:26" ht="13.8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7"/>
      <c r="Y814" s="107"/>
      <c r="Z814" s="107"/>
    </row>
    <row r="815" spans="1:26" ht="13.8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7"/>
      <c r="Y815" s="107"/>
      <c r="Z815" s="107"/>
    </row>
    <row r="816" spans="1:26" ht="13.8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7"/>
      <c r="Y816" s="107"/>
      <c r="Z816" s="107"/>
    </row>
    <row r="817" spans="1:26" ht="13.8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7"/>
      <c r="Y817" s="107"/>
      <c r="Z817" s="107"/>
    </row>
    <row r="818" spans="1:26" ht="13.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7"/>
      <c r="Y818" s="107"/>
      <c r="Z818" s="107"/>
    </row>
    <row r="819" spans="1:26" ht="13.8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7"/>
      <c r="Y819" s="107"/>
      <c r="Z819" s="107"/>
    </row>
    <row r="820" spans="1:26" ht="13.8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7"/>
      <c r="Y820" s="107"/>
      <c r="Z820" s="107"/>
    </row>
    <row r="821" spans="1:26" ht="13.8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7"/>
      <c r="Y821" s="107"/>
      <c r="Z821" s="107"/>
    </row>
    <row r="822" spans="1:26" ht="13.8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7"/>
      <c r="Y822" s="107"/>
      <c r="Z822" s="107"/>
    </row>
    <row r="823" spans="1:26" ht="13.8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7"/>
      <c r="Y823" s="107"/>
      <c r="Z823" s="107"/>
    </row>
    <row r="824" spans="1:26" ht="13.8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7"/>
      <c r="Y824" s="107"/>
      <c r="Z824" s="107"/>
    </row>
    <row r="825" spans="1:26" ht="13.8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7"/>
      <c r="Y825" s="107"/>
      <c r="Z825" s="107"/>
    </row>
    <row r="826" spans="1:26" ht="13.8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7"/>
      <c r="Y826" s="107"/>
      <c r="Z826" s="107"/>
    </row>
    <row r="827" spans="1:26" ht="13.8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7"/>
      <c r="Y827" s="107"/>
      <c r="Z827" s="107"/>
    </row>
    <row r="828" spans="1:26" ht="13.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7"/>
      <c r="Y828" s="107"/>
      <c r="Z828" s="107"/>
    </row>
    <row r="829" spans="1:26" ht="13.8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7"/>
      <c r="Y829" s="107"/>
      <c r="Z829" s="107"/>
    </row>
    <row r="830" spans="1:26" ht="13.8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7"/>
      <c r="Y830" s="107"/>
      <c r="Z830" s="107"/>
    </row>
    <row r="831" spans="1:26" ht="13.8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7"/>
      <c r="Y831" s="107"/>
      <c r="Z831" s="107"/>
    </row>
    <row r="832" spans="1:26" ht="13.8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7"/>
      <c r="Y832" s="107"/>
      <c r="Z832" s="107"/>
    </row>
    <row r="833" spans="1:26" ht="13.8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7"/>
      <c r="Y833" s="107"/>
      <c r="Z833" s="107"/>
    </row>
    <row r="834" spans="1:26" ht="13.8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7"/>
      <c r="Y834" s="107"/>
      <c r="Z834" s="107"/>
    </row>
    <row r="835" spans="1:26" ht="13.8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7"/>
      <c r="Y835" s="107"/>
      <c r="Z835" s="107"/>
    </row>
    <row r="836" spans="1:26" ht="13.8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7"/>
      <c r="Y836" s="107"/>
      <c r="Z836" s="107"/>
    </row>
    <row r="837" spans="1:26" ht="13.8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7"/>
      <c r="Y837" s="107"/>
      <c r="Z837" s="107"/>
    </row>
    <row r="838" spans="1:26" ht="13.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7"/>
      <c r="Y838" s="107"/>
      <c r="Z838" s="107"/>
    </row>
    <row r="839" spans="1:26" ht="13.8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7"/>
      <c r="Y839" s="107"/>
      <c r="Z839" s="107"/>
    </row>
    <row r="840" spans="1:26" ht="13.8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7"/>
      <c r="Y840" s="107"/>
      <c r="Z840" s="107"/>
    </row>
    <row r="841" spans="1:26" ht="13.8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7"/>
      <c r="Y841" s="107"/>
      <c r="Z841" s="107"/>
    </row>
    <row r="842" spans="1:26" ht="13.8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7"/>
      <c r="Y842" s="107"/>
      <c r="Z842" s="107"/>
    </row>
    <row r="843" spans="1:26" ht="13.8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7"/>
      <c r="Y843" s="107"/>
      <c r="Z843" s="107"/>
    </row>
    <row r="844" spans="1:26" ht="13.8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7"/>
      <c r="Y844" s="107"/>
      <c r="Z844" s="107"/>
    </row>
    <row r="845" spans="1:26" ht="13.8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7"/>
      <c r="Y845" s="107"/>
      <c r="Z845" s="107"/>
    </row>
    <row r="846" spans="1:26" ht="13.8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7"/>
      <c r="Y846" s="107"/>
      <c r="Z846" s="107"/>
    </row>
    <row r="847" spans="1:26" ht="13.8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7"/>
      <c r="Y847" s="107"/>
      <c r="Z847" s="107"/>
    </row>
    <row r="848" spans="1:26" ht="13.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7"/>
      <c r="Y848" s="107"/>
      <c r="Z848" s="107"/>
    </row>
    <row r="849" spans="1:26" ht="13.8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7"/>
      <c r="Y849" s="107"/>
      <c r="Z849" s="107"/>
    </row>
    <row r="850" spans="1:26" ht="13.8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7"/>
      <c r="Y850" s="107"/>
      <c r="Z850" s="107"/>
    </row>
    <row r="851" spans="1:26" ht="13.8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7"/>
      <c r="Y851" s="107"/>
      <c r="Z851" s="107"/>
    </row>
    <row r="852" spans="1:26" ht="13.8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7"/>
      <c r="Y852" s="107"/>
      <c r="Z852" s="107"/>
    </row>
    <row r="853" spans="1:26" ht="13.8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7"/>
      <c r="Y853" s="107"/>
      <c r="Z853" s="107"/>
    </row>
    <row r="854" spans="1:26" ht="13.8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7"/>
      <c r="Y854" s="107"/>
      <c r="Z854" s="107"/>
    </row>
    <row r="855" spans="1:26" ht="13.8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7"/>
      <c r="Y855" s="107"/>
      <c r="Z855" s="107"/>
    </row>
    <row r="856" spans="1:26" ht="13.8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7"/>
      <c r="Y856" s="107"/>
      <c r="Z856" s="107"/>
    </row>
    <row r="857" spans="1:26" ht="13.8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7"/>
      <c r="Y857" s="107"/>
      <c r="Z857" s="107"/>
    </row>
    <row r="858" spans="1:26" ht="13.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7"/>
      <c r="Y858" s="107"/>
      <c r="Z858" s="107"/>
    </row>
    <row r="859" spans="1:26" ht="13.8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7"/>
      <c r="Y859" s="107"/>
      <c r="Z859" s="107"/>
    </row>
    <row r="860" spans="1:26" ht="13.8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7"/>
      <c r="Y860" s="107"/>
      <c r="Z860" s="107"/>
    </row>
    <row r="861" spans="1:26" ht="13.8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7"/>
      <c r="Y861" s="107"/>
      <c r="Z861" s="107"/>
    </row>
    <row r="862" spans="1:26" ht="13.8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7"/>
      <c r="Y862" s="107"/>
      <c r="Z862" s="107"/>
    </row>
    <row r="863" spans="1:26" ht="13.8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7"/>
      <c r="Y863" s="107"/>
      <c r="Z863" s="107"/>
    </row>
    <row r="864" spans="1:26" ht="13.8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7"/>
      <c r="Y864" s="107"/>
      <c r="Z864" s="107"/>
    </row>
    <row r="865" spans="1:26" ht="13.8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7"/>
      <c r="Y865" s="107"/>
      <c r="Z865" s="107"/>
    </row>
    <row r="866" spans="1:26" ht="13.8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7"/>
      <c r="Y866" s="107"/>
      <c r="Z866" s="107"/>
    </row>
    <row r="867" spans="1:26" ht="13.8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7"/>
      <c r="Y867" s="107"/>
      <c r="Z867" s="107"/>
    </row>
    <row r="868" spans="1:26" ht="13.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7"/>
      <c r="Y868" s="107"/>
      <c r="Z868" s="107"/>
    </row>
    <row r="869" spans="1:26" ht="13.8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7"/>
      <c r="Y869" s="107"/>
      <c r="Z869" s="107"/>
    </row>
    <row r="870" spans="1:26" ht="13.8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7"/>
      <c r="Y870" s="107"/>
      <c r="Z870" s="107"/>
    </row>
    <row r="871" spans="1:26" ht="13.8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7"/>
      <c r="Y871" s="107"/>
      <c r="Z871" s="107"/>
    </row>
    <row r="872" spans="1:26" ht="13.8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7"/>
      <c r="Y872" s="107"/>
      <c r="Z872" s="107"/>
    </row>
    <row r="873" spans="1:26" ht="13.8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7"/>
      <c r="Y873" s="107"/>
      <c r="Z873" s="107"/>
    </row>
    <row r="874" spans="1:26" ht="13.8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7"/>
      <c r="Y874" s="107"/>
      <c r="Z874" s="107"/>
    </row>
    <row r="875" spans="1:26" ht="13.8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7"/>
      <c r="Y875" s="107"/>
      <c r="Z875" s="107"/>
    </row>
    <row r="876" spans="1:26" ht="13.8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7"/>
      <c r="Y876" s="107"/>
      <c r="Z876" s="107"/>
    </row>
    <row r="877" spans="1:26" ht="13.8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7"/>
      <c r="Y877" s="107"/>
      <c r="Z877" s="107"/>
    </row>
    <row r="878" spans="1:26" ht="13.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7"/>
      <c r="Y878" s="107"/>
      <c r="Z878" s="107"/>
    </row>
    <row r="879" spans="1:26" ht="13.8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7"/>
      <c r="Y879" s="107"/>
      <c r="Z879" s="107"/>
    </row>
    <row r="880" spans="1:26" ht="13.8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7"/>
      <c r="Y880" s="107"/>
      <c r="Z880" s="107"/>
    </row>
    <row r="881" spans="1:26" ht="13.8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7"/>
      <c r="Y881" s="107"/>
      <c r="Z881" s="107"/>
    </row>
    <row r="882" spans="1:26" ht="13.8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7"/>
      <c r="Y882" s="107"/>
      <c r="Z882" s="107"/>
    </row>
    <row r="883" spans="1:26" ht="13.8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7"/>
      <c r="Y883" s="107"/>
      <c r="Z883" s="107"/>
    </row>
    <row r="884" spans="1:26" ht="13.8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7"/>
      <c r="Y884" s="107"/>
      <c r="Z884" s="107"/>
    </row>
    <row r="885" spans="1:26" ht="13.8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7"/>
      <c r="Y885" s="107"/>
      <c r="Z885" s="107"/>
    </row>
    <row r="886" spans="1:26" ht="13.8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7"/>
      <c r="Y886" s="107"/>
      <c r="Z886" s="107"/>
    </row>
    <row r="887" spans="1:26" ht="13.8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7"/>
      <c r="Y887" s="107"/>
      <c r="Z887" s="107"/>
    </row>
    <row r="888" spans="1:26" ht="13.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7"/>
      <c r="Y888" s="107"/>
      <c r="Z888" s="107"/>
    </row>
    <row r="889" spans="1:26" ht="13.8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7"/>
      <c r="Y889" s="107"/>
      <c r="Z889" s="107"/>
    </row>
    <row r="890" spans="1:26" ht="13.8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7"/>
      <c r="Y890" s="107"/>
      <c r="Z890" s="107"/>
    </row>
    <row r="891" spans="1:26" ht="13.8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7"/>
      <c r="Y891" s="107"/>
      <c r="Z891" s="107"/>
    </row>
    <row r="892" spans="1:26" ht="13.8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7"/>
      <c r="Y892" s="107"/>
      <c r="Z892" s="107"/>
    </row>
    <row r="893" spans="1:26" ht="13.8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7"/>
      <c r="Y893" s="107"/>
      <c r="Z893" s="107"/>
    </row>
    <row r="894" spans="1:26" ht="13.8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7"/>
      <c r="Y894" s="107"/>
      <c r="Z894" s="107"/>
    </row>
    <row r="895" spans="1:26" ht="13.8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7"/>
      <c r="Y895" s="107"/>
      <c r="Z895" s="107"/>
    </row>
    <row r="896" spans="1:26" ht="13.8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7"/>
      <c r="Y896" s="107"/>
      <c r="Z896" s="107"/>
    </row>
    <row r="897" spans="1:26" ht="13.8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7"/>
      <c r="Y897" s="107"/>
      <c r="Z897" s="107"/>
    </row>
    <row r="898" spans="1:26" ht="13.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7"/>
      <c r="Y898" s="107"/>
      <c r="Z898" s="107"/>
    </row>
    <row r="899" spans="1:26" ht="13.8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7"/>
      <c r="Y899" s="107"/>
      <c r="Z899" s="107"/>
    </row>
    <row r="900" spans="1:26" ht="13.8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7"/>
      <c r="Y900" s="107"/>
      <c r="Z900" s="107"/>
    </row>
    <row r="901" spans="1:26" ht="13.8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7"/>
      <c r="Y901" s="107"/>
      <c r="Z901" s="107"/>
    </row>
    <row r="902" spans="1:26" ht="13.8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7"/>
      <c r="Y902" s="107"/>
      <c r="Z902" s="107"/>
    </row>
    <row r="903" spans="1:26" ht="13.8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7"/>
      <c r="Y903" s="107"/>
      <c r="Z903" s="107"/>
    </row>
    <row r="904" spans="1:26" ht="13.8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7"/>
      <c r="Y904" s="107"/>
      <c r="Z904" s="107"/>
    </row>
    <row r="905" spans="1:26" ht="13.8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7"/>
      <c r="Y905" s="107"/>
      <c r="Z905" s="107"/>
    </row>
    <row r="906" spans="1:26" ht="13.8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7"/>
      <c r="Y906" s="107"/>
      <c r="Z906" s="107"/>
    </row>
    <row r="907" spans="1:26" ht="13.8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7"/>
      <c r="Y907" s="107"/>
      <c r="Z907" s="107"/>
    </row>
    <row r="908" spans="1:26" ht="13.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7"/>
      <c r="Y908" s="107"/>
      <c r="Z908" s="107"/>
    </row>
    <row r="909" spans="1:26" ht="13.8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7"/>
      <c r="Y909" s="107"/>
      <c r="Z909" s="107"/>
    </row>
    <row r="910" spans="1:26" ht="13.8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7"/>
      <c r="Y910" s="107"/>
      <c r="Z910" s="107"/>
    </row>
    <row r="911" spans="1:26" ht="13.8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7"/>
      <c r="Y911" s="107"/>
      <c r="Z911" s="107"/>
    </row>
    <row r="912" spans="1:26" ht="13.8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7"/>
      <c r="Y912" s="107"/>
      <c r="Z912" s="107"/>
    </row>
    <row r="913" spans="1:26" ht="13.8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7"/>
      <c r="Y913" s="107"/>
      <c r="Z913" s="107"/>
    </row>
    <row r="914" spans="1:26" ht="13.8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7"/>
      <c r="Y914" s="107"/>
      <c r="Z914" s="107"/>
    </row>
    <row r="915" spans="1:26" ht="13.8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7"/>
      <c r="Y915" s="107"/>
      <c r="Z915" s="107"/>
    </row>
    <row r="916" spans="1:26" ht="13.8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7"/>
      <c r="Y916" s="107"/>
      <c r="Z916" s="107"/>
    </row>
    <row r="917" spans="1:26" ht="13.8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7"/>
      <c r="Y917" s="107"/>
      <c r="Z917" s="107"/>
    </row>
    <row r="918" spans="1:26" ht="13.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7"/>
      <c r="Y918" s="107"/>
      <c r="Z918" s="107"/>
    </row>
    <row r="919" spans="1:26" ht="13.8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7"/>
      <c r="Y919" s="107"/>
      <c r="Z919" s="107"/>
    </row>
    <row r="920" spans="1:26" ht="13.8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7"/>
      <c r="Y920" s="107"/>
      <c r="Z920" s="107"/>
    </row>
    <row r="921" spans="1:26" ht="13.8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7"/>
      <c r="Y921" s="107"/>
      <c r="Z921" s="107"/>
    </row>
    <row r="922" spans="1:26" ht="13.8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7"/>
      <c r="Y922" s="107"/>
      <c r="Z922" s="107"/>
    </row>
    <row r="923" spans="1:26" ht="13.8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7"/>
      <c r="Y923" s="107"/>
      <c r="Z923" s="107"/>
    </row>
    <row r="924" spans="1:26" ht="13.8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7"/>
      <c r="Y924" s="107"/>
      <c r="Z924" s="107"/>
    </row>
    <row r="925" spans="1:26" ht="13.8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7"/>
      <c r="Y925" s="107"/>
      <c r="Z925" s="107"/>
    </row>
    <row r="926" spans="1:26" ht="13.8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7"/>
      <c r="Y926" s="107"/>
      <c r="Z926" s="107"/>
    </row>
    <row r="927" spans="1:26" ht="13.8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7"/>
      <c r="Y927" s="107"/>
      <c r="Z927" s="107"/>
    </row>
    <row r="928" spans="1:26" ht="13.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7"/>
      <c r="Y928" s="107"/>
      <c r="Z928" s="107"/>
    </row>
    <row r="929" spans="1:26" ht="13.8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7"/>
      <c r="Y929" s="107"/>
      <c r="Z929" s="107"/>
    </row>
    <row r="930" spans="1:26" ht="13.8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7"/>
      <c r="Y930" s="107"/>
      <c r="Z930" s="107"/>
    </row>
    <row r="931" spans="1:26" ht="13.8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7"/>
      <c r="Y931" s="107"/>
      <c r="Z931" s="107"/>
    </row>
    <row r="932" spans="1:26" ht="13.8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7"/>
      <c r="Y932" s="107"/>
      <c r="Z932" s="107"/>
    </row>
    <row r="933" spans="1:26" ht="13.8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7"/>
      <c r="Y933" s="107"/>
      <c r="Z933" s="107"/>
    </row>
    <row r="934" spans="1:26" ht="13.8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7"/>
      <c r="Y934" s="107"/>
      <c r="Z934" s="107"/>
    </row>
    <row r="935" spans="1:26" ht="13.8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7"/>
      <c r="Y935" s="107"/>
      <c r="Z935" s="107"/>
    </row>
    <row r="936" spans="1:26" ht="13.8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7"/>
      <c r="Y936" s="107"/>
      <c r="Z936" s="107"/>
    </row>
    <row r="937" spans="1:26" ht="13.8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7"/>
      <c r="Y937" s="107"/>
      <c r="Z937" s="107"/>
    </row>
    <row r="938" spans="1:26" ht="13.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7"/>
      <c r="Y938" s="107"/>
      <c r="Z938" s="107"/>
    </row>
    <row r="939" spans="1:26" ht="13.8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7"/>
      <c r="Y939" s="107"/>
      <c r="Z939" s="107"/>
    </row>
    <row r="940" spans="1:26" ht="13.8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7"/>
      <c r="Y940" s="107"/>
      <c r="Z940" s="107"/>
    </row>
    <row r="941" spans="1:26" ht="13.8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7"/>
      <c r="Y941" s="107"/>
      <c r="Z941" s="107"/>
    </row>
    <row r="942" spans="1:26" ht="13.8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7"/>
      <c r="Y942" s="107"/>
      <c r="Z942" s="107"/>
    </row>
    <row r="943" spans="1:26" ht="13.8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7"/>
      <c r="Y943" s="107"/>
      <c r="Z943" s="107"/>
    </row>
    <row r="944" spans="1:26" ht="13.8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7"/>
      <c r="Y944" s="107"/>
      <c r="Z944" s="107"/>
    </row>
    <row r="945" spans="1:26" ht="13.8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7"/>
      <c r="Y945" s="107"/>
      <c r="Z945" s="107"/>
    </row>
    <row r="946" spans="1:26" ht="13.8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7"/>
      <c r="Y946" s="107"/>
      <c r="Z946" s="107"/>
    </row>
    <row r="947" spans="1:26" ht="13.8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7"/>
      <c r="Y947" s="107"/>
      <c r="Z947" s="107"/>
    </row>
    <row r="948" spans="1:26" ht="13.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7"/>
      <c r="Y948" s="107"/>
      <c r="Z948" s="107"/>
    </row>
    <row r="949" spans="1:26" ht="13.8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7"/>
      <c r="Y949" s="107"/>
      <c r="Z949" s="107"/>
    </row>
    <row r="950" spans="1:26" ht="13.8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7"/>
      <c r="Y950" s="107"/>
      <c r="Z950" s="107"/>
    </row>
    <row r="951" spans="1:26" ht="13.8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7"/>
      <c r="Y951" s="107"/>
      <c r="Z951" s="107"/>
    </row>
    <row r="952" spans="1:26" ht="13.8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7"/>
      <c r="Y952" s="107"/>
      <c r="Z952" s="107"/>
    </row>
    <row r="953" spans="1:26" ht="13.8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7"/>
      <c r="Y953" s="107"/>
      <c r="Z953" s="107"/>
    </row>
    <row r="954" spans="1:26" ht="13.8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7"/>
      <c r="Y954" s="107"/>
      <c r="Z954" s="107"/>
    </row>
    <row r="955" spans="1:26" ht="13.8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7"/>
      <c r="Y955" s="107"/>
      <c r="Z955" s="107"/>
    </row>
    <row r="956" spans="1:26" ht="13.8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7"/>
      <c r="Y956" s="107"/>
      <c r="Z956" s="107"/>
    </row>
    <row r="957" spans="1:26" ht="13.8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7"/>
      <c r="Y957" s="107"/>
      <c r="Z957" s="107"/>
    </row>
    <row r="958" spans="1:26" ht="13.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7"/>
      <c r="Y958" s="107"/>
      <c r="Z958" s="107"/>
    </row>
    <row r="959" spans="1:26" ht="13.8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7"/>
      <c r="Y959" s="107"/>
      <c r="Z959" s="107"/>
    </row>
    <row r="960" spans="1:26" ht="13.8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7"/>
      <c r="Y960" s="107"/>
      <c r="Z960" s="107"/>
    </row>
    <row r="961" spans="1:26" ht="13.8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7"/>
      <c r="Y961" s="107"/>
      <c r="Z961" s="107"/>
    </row>
    <row r="962" spans="1:26" ht="13.8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7"/>
      <c r="Y962" s="107"/>
      <c r="Z962" s="107"/>
    </row>
    <row r="963" spans="1:26" ht="13.8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7"/>
      <c r="Y963" s="107"/>
      <c r="Z963" s="107"/>
    </row>
    <row r="964" spans="1:26" ht="13.8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7"/>
      <c r="Y964" s="107"/>
      <c r="Z964" s="107"/>
    </row>
    <row r="965" spans="1:26" ht="13.8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7"/>
      <c r="Y965" s="107"/>
      <c r="Z965" s="107"/>
    </row>
    <row r="966" spans="1:26" ht="13.8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7"/>
      <c r="Y966" s="107"/>
      <c r="Z966" s="107"/>
    </row>
    <row r="967" spans="1:26" ht="13.8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7"/>
      <c r="Y967" s="107"/>
      <c r="Z967" s="107"/>
    </row>
    <row r="968" spans="1:26" ht="13.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7"/>
      <c r="Y968" s="107"/>
      <c r="Z968" s="107"/>
    </row>
    <row r="969" spans="1:26" ht="13.8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7"/>
      <c r="Y969" s="107"/>
      <c r="Z969" s="107"/>
    </row>
    <row r="970" spans="1:26" ht="13.8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7"/>
      <c r="Y970" s="107"/>
      <c r="Z970" s="107"/>
    </row>
    <row r="971" spans="1:26" ht="13.8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7"/>
      <c r="Y971" s="107"/>
      <c r="Z971" s="107"/>
    </row>
    <row r="972" spans="1:26" ht="13.8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7"/>
      <c r="Y972" s="107"/>
      <c r="Z972" s="107"/>
    </row>
    <row r="973" spans="1:26" ht="13.8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7"/>
      <c r="Y973" s="107"/>
      <c r="Z973" s="107"/>
    </row>
    <row r="974" spans="1:26" ht="13.8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7"/>
      <c r="Y974" s="107"/>
      <c r="Z974" s="107"/>
    </row>
    <row r="975" spans="1:26" ht="13.8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7"/>
      <c r="Y975" s="107"/>
      <c r="Z975" s="107"/>
    </row>
    <row r="976" spans="1:26" ht="13.8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7"/>
      <c r="Y976" s="107"/>
      <c r="Z976" s="107"/>
    </row>
    <row r="977" spans="1:26" ht="13.8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7"/>
      <c r="Y977" s="107"/>
      <c r="Z977" s="107"/>
    </row>
    <row r="978" spans="1:26" ht="13.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7"/>
      <c r="Y978" s="107"/>
      <c r="Z978" s="107"/>
    </row>
    <row r="979" spans="1:26" ht="13.8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7"/>
      <c r="Y979" s="107"/>
      <c r="Z979" s="107"/>
    </row>
    <row r="980" spans="1:26" ht="13.8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7"/>
      <c r="Y980" s="107"/>
      <c r="Z980" s="107"/>
    </row>
    <row r="981" spans="1:26" ht="13.8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7"/>
      <c r="Y981" s="107"/>
      <c r="Z981" s="107"/>
    </row>
    <row r="982" spans="1:26" ht="13.8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7"/>
      <c r="Y982" s="107"/>
      <c r="Z982" s="107"/>
    </row>
    <row r="983" spans="1:26" ht="13.8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7"/>
      <c r="Y983" s="107"/>
      <c r="Z983" s="107"/>
    </row>
    <row r="984" spans="1:26" ht="13.8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7"/>
      <c r="Y984" s="107"/>
      <c r="Z984" s="107"/>
    </row>
    <row r="985" spans="1:26" ht="13.8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7"/>
      <c r="Y985" s="107"/>
      <c r="Z985" s="107"/>
    </row>
    <row r="986" spans="1:26" ht="13.8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7"/>
      <c r="Y986" s="107"/>
      <c r="Z986" s="107"/>
    </row>
    <row r="987" spans="1:26" ht="13.8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7"/>
      <c r="Y987" s="107"/>
      <c r="Z987" s="107"/>
    </row>
    <row r="988" spans="1:26" ht="13.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7"/>
      <c r="Y988" s="107"/>
      <c r="Z988" s="107"/>
    </row>
    <row r="989" spans="1:26" ht="13.8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7"/>
      <c r="Y989" s="107"/>
      <c r="Z989" s="107"/>
    </row>
    <row r="990" spans="1:26" ht="13.8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7"/>
      <c r="Y990" s="107"/>
      <c r="Z990" s="107"/>
    </row>
    <row r="991" spans="1:26" ht="13.8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7"/>
      <c r="Y991" s="107"/>
      <c r="Z991" s="107"/>
    </row>
    <row r="992" spans="1:26" ht="13.8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7"/>
      <c r="Y992" s="107"/>
      <c r="Z992" s="107"/>
    </row>
    <row r="993" spans="1:26" ht="13.8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7"/>
      <c r="Y993" s="107"/>
      <c r="Z993" s="107"/>
    </row>
    <row r="994" spans="1:26" ht="13.8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7"/>
      <c r="Y994" s="107"/>
      <c r="Z994" s="107"/>
    </row>
    <row r="995" spans="1:26" ht="13.8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7"/>
      <c r="Y995" s="107"/>
      <c r="Z995" s="107"/>
    </row>
    <row r="996" spans="1:26" ht="13.8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7"/>
      <c r="Y996" s="107"/>
      <c r="Z996" s="107"/>
    </row>
    <row r="997" spans="1:26" ht="13.8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7"/>
      <c r="Y997" s="107"/>
      <c r="Z997" s="107"/>
    </row>
  </sheetData>
  <mergeCells count="65">
    <mergeCell ref="C17:C21"/>
    <mergeCell ref="D21:E21"/>
    <mergeCell ref="B9:B12"/>
    <mergeCell ref="C9:C12"/>
    <mergeCell ref="D12:E12"/>
    <mergeCell ref="B13:B16"/>
    <mergeCell ref="C13:C16"/>
    <mergeCell ref="D16:E16"/>
    <mergeCell ref="B17:B21"/>
    <mergeCell ref="T6:T8"/>
    <mergeCell ref="U6:U8"/>
    <mergeCell ref="H7:I7"/>
    <mergeCell ref="J7:K7"/>
    <mergeCell ref="B5:C5"/>
    <mergeCell ref="B6:B8"/>
    <mergeCell ref="C6:C8"/>
    <mergeCell ref="D6:D8"/>
    <mergeCell ref="E6:E8"/>
    <mergeCell ref="F6:F8"/>
    <mergeCell ref="G6:G8"/>
    <mergeCell ref="L7:M7"/>
    <mergeCell ref="N7:O7"/>
    <mergeCell ref="P7:Q7"/>
    <mergeCell ref="R7:S7"/>
    <mergeCell ref="H6:K6"/>
    <mergeCell ref="L6:O6"/>
    <mergeCell ref="P6:S6"/>
    <mergeCell ref="B2:U2"/>
    <mergeCell ref="N3:P3"/>
    <mergeCell ref="Q3:S3"/>
    <mergeCell ref="T3:U3"/>
    <mergeCell ref="N4:P4"/>
    <mergeCell ref="Q4:S4"/>
    <mergeCell ref="T4:U4"/>
    <mergeCell ref="B65:D65"/>
    <mergeCell ref="B45:B49"/>
    <mergeCell ref="C45:C49"/>
    <mergeCell ref="D49:E49"/>
    <mergeCell ref="B50:B55"/>
    <mergeCell ref="C50:C55"/>
    <mergeCell ref="D55:E55"/>
    <mergeCell ref="B56:B60"/>
    <mergeCell ref="C56:C60"/>
    <mergeCell ref="D60:E60"/>
    <mergeCell ref="B61:B64"/>
    <mergeCell ref="C61:C64"/>
    <mergeCell ref="D64:E64"/>
    <mergeCell ref="C40:C44"/>
    <mergeCell ref="D44:E44"/>
    <mergeCell ref="B33:B34"/>
    <mergeCell ref="C33:C34"/>
    <mergeCell ref="D34:E34"/>
    <mergeCell ref="B35:B39"/>
    <mergeCell ref="C35:C39"/>
    <mergeCell ref="D39:E39"/>
    <mergeCell ref="B40:B44"/>
    <mergeCell ref="C31:C32"/>
    <mergeCell ref="D32:E32"/>
    <mergeCell ref="B22:B26"/>
    <mergeCell ref="C22:C26"/>
    <mergeCell ref="D26:E26"/>
    <mergeCell ref="B27:B30"/>
    <mergeCell ref="C27:C30"/>
    <mergeCell ref="D30:E30"/>
    <mergeCell ref="B31:B32"/>
  </mergeCells>
  <phoneticPr fontId="3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992"/>
  <sheetViews>
    <sheetView workbookViewId="0">
      <selection activeCell="J24" sqref="J24"/>
    </sheetView>
  </sheetViews>
  <sheetFormatPr defaultColWidth="12.6640625" defaultRowHeight="15.75" customHeight="1"/>
  <cols>
    <col min="1" max="1" width="3.77734375" customWidth="1"/>
    <col min="2" max="2" width="10.77734375" customWidth="1"/>
    <col min="3" max="3" width="6.88671875" customWidth="1"/>
    <col min="4" max="4" width="28.44140625" customWidth="1"/>
    <col min="5" max="5" width="20.44140625" customWidth="1"/>
    <col min="6" max="6" width="6" customWidth="1"/>
    <col min="7" max="7" width="7.109375" customWidth="1"/>
    <col min="8" max="19" width="6.44140625" customWidth="1"/>
    <col min="20" max="21" width="5.33203125" customWidth="1"/>
    <col min="22" max="22" width="23" customWidth="1"/>
  </cols>
  <sheetData>
    <row r="1" spans="1:24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</row>
    <row r="2" spans="1:24">
      <c r="A2" s="186"/>
      <c r="B2" s="507" t="s">
        <v>246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186"/>
      <c r="W2" s="186"/>
      <c r="X2" s="186"/>
    </row>
    <row r="3" spans="1:24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508" t="s">
        <v>3</v>
      </c>
      <c r="O3" s="257"/>
      <c r="P3" s="270"/>
      <c r="Q3" s="509" t="s">
        <v>8</v>
      </c>
      <c r="R3" s="257"/>
      <c r="S3" s="270"/>
      <c r="T3" s="509" t="s">
        <v>1</v>
      </c>
      <c r="U3" s="258"/>
      <c r="V3" s="186"/>
      <c r="W3" s="186"/>
      <c r="X3" s="186"/>
    </row>
    <row r="4" spans="1:24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7"/>
      <c r="M4" s="186"/>
      <c r="N4" s="348" t="s">
        <v>51</v>
      </c>
      <c r="O4" s="380"/>
      <c r="P4" s="266"/>
      <c r="Q4" s="510" t="s">
        <v>14</v>
      </c>
      <c r="R4" s="380"/>
      <c r="S4" s="266"/>
      <c r="T4" s="510">
        <v>2027</v>
      </c>
      <c r="U4" s="268"/>
      <c r="V4" s="186"/>
      <c r="W4" s="186"/>
      <c r="X4" s="186"/>
    </row>
    <row r="5" spans="1:24">
      <c r="A5" s="186"/>
      <c r="B5" s="517"/>
      <c r="C5" s="307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</row>
    <row r="6" spans="1:24">
      <c r="A6" s="186"/>
      <c r="B6" s="518" t="s">
        <v>134</v>
      </c>
      <c r="C6" s="513" t="s">
        <v>22</v>
      </c>
      <c r="D6" s="519" t="s">
        <v>247</v>
      </c>
      <c r="E6" s="519" t="s">
        <v>248</v>
      </c>
      <c r="F6" s="513" t="s">
        <v>249</v>
      </c>
      <c r="G6" s="513" t="s">
        <v>250</v>
      </c>
      <c r="H6" s="512" t="s">
        <v>23</v>
      </c>
      <c r="I6" s="257"/>
      <c r="J6" s="257"/>
      <c r="K6" s="270"/>
      <c r="L6" s="512" t="s">
        <v>24</v>
      </c>
      <c r="M6" s="257"/>
      <c r="N6" s="257"/>
      <c r="O6" s="270"/>
      <c r="P6" s="512" t="s">
        <v>25</v>
      </c>
      <c r="Q6" s="257"/>
      <c r="R6" s="257"/>
      <c r="S6" s="270"/>
      <c r="T6" s="513" t="s">
        <v>251</v>
      </c>
      <c r="U6" s="514" t="s">
        <v>252</v>
      </c>
      <c r="V6" s="515" t="s">
        <v>253</v>
      </c>
      <c r="W6" s="516" t="s">
        <v>254</v>
      </c>
      <c r="X6" s="186"/>
    </row>
    <row r="7" spans="1:24">
      <c r="A7" s="186"/>
      <c r="B7" s="392"/>
      <c r="C7" s="481"/>
      <c r="D7" s="481"/>
      <c r="E7" s="481"/>
      <c r="F7" s="481"/>
      <c r="G7" s="481"/>
      <c r="H7" s="511" t="s">
        <v>30</v>
      </c>
      <c r="I7" s="279"/>
      <c r="J7" s="511" t="s">
        <v>31</v>
      </c>
      <c r="K7" s="279"/>
      <c r="L7" s="511" t="s">
        <v>30</v>
      </c>
      <c r="M7" s="279"/>
      <c r="N7" s="511" t="s">
        <v>31</v>
      </c>
      <c r="O7" s="279"/>
      <c r="P7" s="511" t="s">
        <v>30</v>
      </c>
      <c r="Q7" s="279"/>
      <c r="R7" s="511" t="s">
        <v>31</v>
      </c>
      <c r="S7" s="279"/>
      <c r="T7" s="481"/>
      <c r="U7" s="284"/>
      <c r="V7" s="395"/>
      <c r="W7" s="481"/>
      <c r="X7" s="186"/>
    </row>
    <row r="8" spans="1:24">
      <c r="A8" s="186"/>
      <c r="B8" s="385"/>
      <c r="C8" s="370"/>
      <c r="D8" s="370"/>
      <c r="E8" s="370"/>
      <c r="F8" s="370"/>
      <c r="G8" s="370"/>
      <c r="H8" s="188" t="s">
        <v>132</v>
      </c>
      <c r="I8" s="188" t="s">
        <v>141</v>
      </c>
      <c r="J8" s="188" t="s">
        <v>132</v>
      </c>
      <c r="K8" s="188" t="s">
        <v>141</v>
      </c>
      <c r="L8" s="188" t="s">
        <v>132</v>
      </c>
      <c r="M8" s="188" t="s">
        <v>141</v>
      </c>
      <c r="N8" s="188" t="s">
        <v>132</v>
      </c>
      <c r="O8" s="188" t="s">
        <v>141</v>
      </c>
      <c r="P8" s="188" t="s">
        <v>132</v>
      </c>
      <c r="Q8" s="188" t="s">
        <v>141</v>
      </c>
      <c r="R8" s="188" t="s">
        <v>132</v>
      </c>
      <c r="S8" s="188" t="s">
        <v>141</v>
      </c>
      <c r="T8" s="370"/>
      <c r="U8" s="285"/>
      <c r="V8" s="287"/>
      <c r="W8" s="482"/>
      <c r="X8" s="186"/>
    </row>
    <row r="9" spans="1:24">
      <c r="A9" s="186"/>
      <c r="B9" s="503" t="s">
        <v>80</v>
      </c>
      <c r="C9" s="501">
        <v>12</v>
      </c>
      <c r="D9" s="189" t="s">
        <v>255</v>
      </c>
      <c r="E9" s="190" t="s">
        <v>256</v>
      </c>
      <c r="F9" s="191">
        <v>45</v>
      </c>
      <c r="G9" s="191">
        <v>4</v>
      </c>
      <c r="H9" s="191">
        <v>3</v>
      </c>
      <c r="I9" s="191">
        <v>48</v>
      </c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3">
        <v>3</v>
      </c>
      <c r="U9" s="194">
        <v>48</v>
      </c>
      <c r="V9" s="195" t="s">
        <v>257</v>
      </c>
      <c r="W9" s="196" t="s">
        <v>258</v>
      </c>
      <c r="X9" s="186"/>
    </row>
    <row r="10" spans="1:24">
      <c r="A10" s="186"/>
      <c r="B10" s="392"/>
      <c r="C10" s="481"/>
      <c r="D10" s="197" t="s">
        <v>259</v>
      </c>
      <c r="E10" s="197" t="s">
        <v>260</v>
      </c>
      <c r="F10" s="197">
        <v>45</v>
      </c>
      <c r="G10" s="197">
        <v>2</v>
      </c>
      <c r="H10" s="197">
        <v>3</v>
      </c>
      <c r="I10" s="197">
        <v>48</v>
      </c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9">
        <v>3</v>
      </c>
      <c r="U10" s="200">
        <v>48</v>
      </c>
      <c r="V10" s="195" t="s">
        <v>261</v>
      </c>
      <c r="W10" s="201"/>
      <c r="X10" s="186"/>
    </row>
    <row r="11" spans="1:24">
      <c r="A11" s="186"/>
      <c r="B11" s="392"/>
      <c r="C11" s="481"/>
      <c r="D11" s="202" t="s">
        <v>262</v>
      </c>
      <c r="E11" s="197" t="s">
        <v>263</v>
      </c>
      <c r="F11" s="197">
        <v>15</v>
      </c>
      <c r="G11" s="197">
        <v>3</v>
      </c>
      <c r="H11" s="198"/>
      <c r="I11" s="198"/>
      <c r="J11" s="197">
        <v>2</v>
      </c>
      <c r="K11" s="197">
        <v>32</v>
      </c>
      <c r="L11" s="198"/>
      <c r="M11" s="198"/>
      <c r="N11" s="198"/>
      <c r="O11" s="198"/>
      <c r="P11" s="198"/>
      <c r="Q11" s="198"/>
      <c r="R11" s="198"/>
      <c r="S11" s="198"/>
      <c r="T11" s="199">
        <v>2</v>
      </c>
      <c r="U11" s="200">
        <v>32</v>
      </c>
      <c r="V11" s="195" t="s">
        <v>264</v>
      </c>
      <c r="W11" s="203" t="s">
        <v>229</v>
      </c>
      <c r="X11" s="204"/>
    </row>
    <row r="12" spans="1:24">
      <c r="A12" s="186"/>
      <c r="B12" s="392"/>
      <c r="C12" s="481"/>
      <c r="D12" s="197" t="s">
        <v>265</v>
      </c>
      <c r="E12" s="197" t="s">
        <v>266</v>
      </c>
      <c r="F12" s="197">
        <v>45</v>
      </c>
      <c r="G12" s="197">
        <v>3</v>
      </c>
      <c r="H12" s="198"/>
      <c r="I12" s="198"/>
      <c r="J12" s="197">
        <v>4</v>
      </c>
      <c r="K12" s="197">
        <v>64</v>
      </c>
      <c r="L12" s="198"/>
      <c r="M12" s="198"/>
      <c r="N12" s="198"/>
      <c r="O12" s="198"/>
      <c r="P12" s="198"/>
      <c r="Q12" s="198"/>
      <c r="R12" s="198"/>
      <c r="S12" s="198"/>
      <c r="T12" s="199">
        <v>4</v>
      </c>
      <c r="U12" s="200">
        <v>64</v>
      </c>
      <c r="V12" s="195" t="s">
        <v>264</v>
      </c>
      <c r="W12" s="201"/>
      <c r="X12" s="205"/>
    </row>
    <row r="13" spans="1:24">
      <c r="A13" s="186"/>
      <c r="B13" s="385"/>
      <c r="C13" s="370"/>
      <c r="D13" s="504" t="s">
        <v>148</v>
      </c>
      <c r="E13" s="266"/>
      <c r="F13" s="206"/>
      <c r="G13" s="206"/>
      <c r="H13" s="207">
        <v>6</v>
      </c>
      <c r="I13" s="207">
        <v>96</v>
      </c>
      <c r="J13" s="207">
        <v>6</v>
      </c>
      <c r="K13" s="207">
        <v>96</v>
      </c>
      <c r="L13" s="208"/>
      <c r="M13" s="208"/>
      <c r="N13" s="208"/>
      <c r="O13" s="208"/>
      <c r="P13" s="208"/>
      <c r="Q13" s="208"/>
      <c r="R13" s="208"/>
      <c r="S13" s="208"/>
      <c r="T13" s="207">
        <v>12</v>
      </c>
      <c r="U13" s="209">
        <v>192</v>
      </c>
      <c r="V13" s="210"/>
      <c r="W13" s="211"/>
      <c r="X13" s="186"/>
    </row>
    <row r="14" spans="1:24">
      <c r="A14" s="186"/>
      <c r="B14" s="503" t="s">
        <v>81</v>
      </c>
      <c r="C14" s="501">
        <v>9</v>
      </c>
      <c r="D14" s="212" t="s">
        <v>267</v>
      </c>
      <c r="E14" s="191" t="s">
        <v>268</v>
      </c>
      <c r="F14" s="191">
        <v>50</v>
      </c>
      <c r="G14" s="191">
        <v>2</v>
      </c>
      <c r="H14" s="191">
        <v>1</v>
      </c>
      <c r="I14" s="191">
        <v>16</v>
      </c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3">
        <v>1</v>
      </c>
      <c r="U14" s="194">
        <v>16</v>
      </c>
      <c r="V14" s="213" t="s">
        <v>269</v>
      </c>
      <c r="W14" s="203" t="s">
        <v>270</v>
      </c>
      <c r="X14" s="204"/>
    </row>
    <row r="15" spans="1:24">
      <c r="A15" s="186"/>
      <c r="B15" s="392"/>
      <c r="C15" s="481"/>
      <c r="D15" s="197" t="s">
        <v>271</v>
      </c>
      <c r="E15" s="197" t="s">
        <v>272</v>
      </c>
      <c r="F15" s="197">
        <v>50</v>
      </c>
      <c r="G15" s="197">
        <v>4</v>
      </c>
      <c r="H15" s="199">
        <v>2</v>
      </c>
      <c r="I15" s="197">
        <v>32</v>
      </c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9">
        <v>2</v>
      </c>
      <c r="U15" s="200">
        <v>32</v>
      </c>
      <c r="V15" s="214" t="s">
        <v>271</v>
      </c>
      <c r="W15" s="215"/>
      <c r="X15" s="216"/>
    </row>
    <row r="16" spans="1:24">
      <c r="A16" s="186"/>
      <c r="B16" s="392"/>
      <c r="C16" s="481"/>
      <c r="D16" s="197" t="s">
        <v>273</v>
      </c>
      <c r="E16" s="197" t="s">
        <v>274</v>
      </c>
      <c r="F16" s="197">
        <v>30</v>
      </c>
      <c r="G16" s="197">
        <v>2</v>
      </c>
      <c r="H16" s="198"/>
      <c r="I16" s="198"/>
      <c r="J16" s="197">
        <v>3</v>
      </c>
      <c r="K16" s="197">
        <v>48</v>
      </c>
      <c r="L16" s="198"/>
      <c r="M16" s="198"/>
      <c r="N16" s="198"/>
      <c r="O16" s="198"/>
      <c r="P16" s="198"/>
      <c r="Q16" s="198"/>
      <c r="R16" s="198"/>
      <c r="S16" s="198"/>
      <c r="T16" s="199">
        <v>3</v>
      </c>
      <c r="U16" s="200">
        <v>48</v>
      </c>
      <c r="V16" s="217" t="s">
        <v>275</v>
      </c>
      <c r="W16" s="211"/>
      <c r="X16" s="186"/>
    </row>
    <row r="17" spans="1:24">
      <c r="A17" s="186"/>
      <c r="B17" s="392"/>
      <c r="C17" s="481"/>
      <c r="D17" s="197" t="s">
        <v>276</v>
      </c>
      <c r="E17" s="197" t="s">
        <v>277</v>
      </c>
      <c r="F17" s="197">
        <v>50</v>
      </c>
      <c r="G17" s="197">
        <v>4</v>
      </c>
      <c r="H17" s="198"/>
      <c r="I17" s="198"/>
      <c r="J17" s="197">
        <v>3</v>
      </c>
      <c r="K17" s="197">
        <v>48</v>
      </c>
      <c r="L17" s="198"/>
      <c r="M17" s="198"/>
      <c r="N17" s="198"/>
      <c r="O17" s="198"/>
      <c r="P17" s="198"/>
      <c r="Q17" s="198"/>
      <c r="R17" s="198"/>
      <c r="S17" s="198"/>
      <c r="T17" s="199">
        <v>3</v>
      </c>
      <c r="U17" s="200">
        <v>48</v>
      </c>
      <c r="V17" s="214" t="s">
        <v>276</v>
      </c>
      <c r="W17" s="215"/>
      <c r="X17" s="216"/>
    </row>
    <row r="18" spans="1:24">
      <c r="A18" s="186"/>
      <c r="B18" s="385"/>
      <c r="C18" s="370"/>
      <c r="D18" s="502" t="s">
        <v>148</v>
      </c>
      <c r="E18" s="266"/>
      <c r="F18" s="218"/>
      <c r="G18" s="218"/>
      <c r="H18" s="207">
        <v>3</v>
      </c>
      <c r="I18" s="207">
        <v>48</v>
      </c>
      <c r="J18" s="207">
        <v>6</v>
      </c>
      <c r="K18" s="207">
        <v>96</v>
      </c>
      <c r="L18" s="208"/>
      <c r="M18" s="208"/>
      <c r="N18" s="208"/>
      <c r="O18" s="208"/>
      <c r="P18" s="208"/>
      <c r="Q18" s="208"/>
      <c r="R18" s="208"/>
      <c r="S18" s="208"/>
      <c r="T18" s="207">
        <v>9</v>
      </c>
      <c r="U18" s="209">
        <v>144</v>
      </c>
      <c r="V18" s="186"/>
      <c r="W18" s="211"/>
      <c r="X18" s="186"/>
    </row>
    <row r="19" spans="1:24">
      <c r="A19" s="186"/>
      <c r="B19" s="503" t="s">
        <v>82</v>
      </c>
      <c r="C19" s="501">
        <v>12</v>
      </c>
      <c r="D19" s="191" t="s">
        <v>278</v>
      </c>
      <c r="E19" s="191" t="s">
        <v>279</v>
      </c>
      <c r="F19" s="191">
        <v>50</v>
      </c>
      <c r="G19" s="191">
        <v>2</v>
      </c>
      <c r="H19" s="192"/>
      <c r="I19" s="192"/>
      <c r="J19" s="192"/>
      <c r="K19" s="192"/>
      <c r="L19" s="191">
        <v>3</v>
      </c>
      <c r="M19" s="191">
        <v>48</v>
      </c>
      <c r="N19" s="192"/>
      <c r="O19" s="192"/>
      <c r="P19" s="192"/>
      <c r="Q19" s="192"/>
      <c r="R19" s="192"/>
      <c r="S19" s="192"/>
      <c r="T19" s="193">
        <v>3</v>
      </c>
      <c r="U19" s="219">
        <v>48</v>
      </c>
      <c r="V19" s="220" t="s">
        <v>278</v>
      </c>
      <c r="W19" s="221"/>
      <c r="X19" s="222"/>
    </row>
    <row r="20" spans="1:24">
      <c r="A20" s="186"/>
      <c r="B20" s="392"/>
      <c r="C20" s="481"/>
      <c r="D20" s="197" t="s">
        <v>280</v>
      </c>
      <c r="E20" s="197" t="s">
        <v>281</v>
      </c>
      <c r="F20" s="197">
        <v>50</v>
      </c>
      <c r="G20" s="197">
        <v>3</v>
      </c>
      <c r="H20" s="198"/>
      <c r="I20" s="198"/>
      <c r="J20" s="198"/>
      <c r="K20" s="198"/>
      <c r="L20" s="197">
        <v>3</v>
      </c>
      <c r="M20" s="197">
        <v>48</v>
      </c>
      <c r="N20" s="198"/>
      <c r="O20" s="198"/>
      <c r="P20" s="198"/>
      <c r="Q20" s="198"/>
      <c r="R20" s="198"/>
      <c r="S20" s="198"/>
      <c r="T20" s="199">
        <v>3</v>
      </c>
      <c r="U20" s="223">
        <v>48</v>
      </c>
      <c r="V20" s="220" t="s">
        <v>282</v>
      </c>
      <c r="W20" s="221"/>
      <c r="X20" s="222"/>
    </row>
    <row r="21" spans="1:24">
      <c r="A21" s="186"/>
      <c r="B21" s="392"/>
      <c r="C21" s="481"/>
      <c r="D21" s="197" t="s">
        <v>283</v>
      </c>
      <c r="E21" s="197" t="s">
        <v>284</v>
      </c>
      <c r="F21" s="197">
        <v>50</v>
      </c>
      <c r="G21" s="197">
        <v>2</v>
      </c>
      <c r="H21" s="198"/>
      <c r="I21" s="198"/>
      <c r="J21" s="198"/>
      <c r="K21" s="198"/>
      <c r="L21" s="198"/>
      <c r="M21" s="198"/>
      <c r="N21" s="197">
        <v>3</v>
      </c>
      <c r="O21" s="197">
        <v>48</v>
      </c>
      <c r="P21" s="198"/>
      <c r="Q21" s="198"/>
      <c r="R21" s="198"/>
      <c r="S21" s="198"/>
      <c r="T21" s="199">
        <v>3</v>
      </c>
      <c r="U21" s="223">
        <v>48</v>
      </c>
      <c r="V21" s="220" t="s">
        <v>285</v>
      </c>
      <c r="W21" s="221"/>
      <c r="X21" s="222"/>
    </row>
    <row r="22" spans="1:24">
      <c r="A22" s="186"/>
      <c r="B22" s="392"/>
      <c r="C22" s="481"/>
      <c r="D22" s="197" t="s">
        <v>286</v>
      </c>
      <c r="E22" s="197" t="s">
        <v>287</v>
      </c>
      <c r="F22" s="197">
        <v>50</v>
      </c>
      <c r="G22" s="197">
        <v>3</v>
      </c>
      <c r="H22" s="198"/>
      <c r="I22" s="198"/>
      <c r="J22" s="198"/>
      <c r="K22" s="198"/>
      <c r="L22" s="198"/>
      <c r="M22" s="198"/>
      <c r="N22" s="197">
        <v>3</v>
      </c>
      <c r="O22" s="197">
        <v>48</v>
      </c>
      <c r="P22" s="198"/>
      <c r="Q22" s="198"/>
      <c r="R22" s="198"/>
      <c r="S22" s="198"/>
      <c r="T22" s="199">
        <v>3</v>
      </c>
      <c r="U22" s="223">
        <v>48</v>
      </c>
      <c r="V22" s="224" t="s">
        <v>286</v>
      </c>
      <c r="W22" s="221"/>
      <c r="X22" s="222"/>
    </row>
    <row r="23" spans="1:24">
      <c r="A23" s="186"/>
      <c r="B23" s="385"/>
      <c r="C23" s="370"/>
      <c r="D23" s="502" t="s">
        <v>148</v>
      </c>
      <c r="E23" s="266"/>
      <c r="F23" s="218"/>
      <c r="G23" s="218"/>
      <c r="H23" s="208"/>
      <c r="I23" s="208"/>
      <c r="J23" s="208"/>
      <c r="K23" s="208"/>
      <c r="L23" s="207">
        <v>6</v>
      </c>
      <c r="M23" s="207">
        <v>96</v>
      </c>
      <c r="N23" s="207">
        <v>6</v>
      </c>
      <c r="O23" s="207">
        <v>96</v>
      </c>
      <c r="P23" s="208"/>
      <c r="Q23" s="208"/>
      <c r="R23" s="208"/>
      <c r="S23" s="208"/>
      <c r="T23" s="207">
        <v>12</v>
      </c>
      <c r="U23" s="225">
        <v>192</v>
      </c>
      <c r="V23" s="226"/>
      <c r="W23" s="227"/>
      <c r="X23" s="186"/>
    </row>
    <row r="24" spans="1:24">
      <c r="A24" s="186"/>
      <c r="B24" s="503" t="s">
        <v>83</v>
      </c>
      <c r="C24" s="501">
        <v>10</v>
      </c>
      <c r="D24" s="193" t="s">
        <v>288</v>
      </c>
      <c r="E24" s="191" t="s">
        <v>289</v>
      </c>
      <c r="F24" s="191">
        <v>60</v>
      </c>
      <c r="G24" s="193">
        <v>2</v>
      </c>
      <c r="H24" s="192"/>
      <c r="I24" s="192"/>
      <c r="J24" s="192"/>
      <c r="K24" s="192"/>
      <c r="L24" s="191">
        <v>3</v>
      </c>
      <c r="M24" s="191">
        <v>48</v>
      </c>
      <c r="N24" s="192"/>
      <c r="O24" s="192"/>
      <c r="P24" s="192"/>
      <c r="Q24" s="192"/>
      <c r="R24" s="192"/>
      <c r="S24" s="192"/>
      <c r="T24" s="193">
        <v>3</v>
      </c>
      <c r="U24" s="219">
        <v>48</v>
      </c>
      <c r="V24" s="224" t="s">
        <v>290</v>
      </c>
      <c r="W24" s="221"/>
      <c r="X24" s="222"/>
    </row>
    <row r="25" spans="1:24">
      <c r="A25" s="186"/>
      <c r="B25" s="392"/>
      <c r="C25" s="481"/>
      <c r="D25" s="199" t="s">
        <v>291</v>
      </c>
      <c r="E25" s="197" t="s">
        <v>292</v>
      </c>
      <c r="F25" s="197">
        <v>45</v>
      </c>
      <c r="G25" s="197">
        <v>2</v>
      </c>
      <c r="H25" s="198"/>
      <c r="I25" s="198"/>
      <c r="J25" s="198"/>
      <c r="K25" s="198"/>
      <c r="L25" s="197">
        <v>3</v>
      </c>
      <c r="M25" s="197">
        <v>48</v>
      </c>
      <c r="N25" s="198"/>
      <c r="O25" s="198"/>
      <c r="P25" s="198"/>
      <c r="Q25" s="198"/>
      <c r="R25" s="198"/>
      <c r="S25" s="198"/>
      <c r="T25" s="199">
        <v>3</v>
      </c>
      <c r="U25" s="223">
        <v>48</v>
      </c>
      <c r="V25" s="220" t="s">
        <v>293</v>
      </c>
      <c r="W25" s="221"/>
      <c r="X25" s="222"/>
    </row>
    <row r="26" spans="1:24">
      <c r="A26" s="186"/>
      <c r="B26" s="392"/>
      <c r="C26" s="481"/>
      <c r="D26" s="199" t="s">
        <v>294</v>
      </c>
      <c r="E26" s="197" t="s">
        <v>295</v>
      </c>
      <c r="F26" s="197">
        <v>50</v>
      </c>
      <c r="G26" s="197">
        <v>2</v>
      </c>
      <c r="H26" s="198"/>
      <c r="I26" s="198"/>
      <c r="J26" s="198"/>
      <c r="K26" s="198"/>
      <c r="L26" s="198"/>
      <c r="M26" s="198"/>
      <c r="N26" s="197">
        <v>2</v>
      </c>
      <c r="O26" s="197">
        <v>32</v>
      </c>
      <c r="P26" s="198"/>
      <c r="Q26" s="198"/>
      <c r="R26" s="198"/>
      <c r="S26" s="198"/>
      <c r="T26" s="199">
        <v>2</v>
      </c>
      <c r="U26" s="223">
        <v>32</v>
      </c>
      <c r="V26" s="224" t="s">
        <v>296</v>
      </c>
      <c r="W26" s="221"/>
      <c r="X26" s="222"/>
    </row>
    <row r="27" spans="1:24">
      <c r="A27" s="186"/>
      <c r="B27" s="392"/>
      <c r="C27" s="481"/>
      <c r="D27" s="199" t="s">
        <v>297</v>
      </c>
      <c r="E27" s="197" t="s">
        <v>298</v>
      </c>
      <c r="F27" s="197">
        <v>45</v>
      </c>
      <c r="G27" s="197">
        <v>2</v>
      </c>
      <c r="H27" s="198"/>
      <c r="I27" s="198"/>
      <c r="J27" s="198"/>
      <c r="K27" s="198"/>
      <c r="L27" s="198"/>
      <c r="M27" s="198"/>
      <c r="N27" s="197">
        <v>2</v>
      </c>
      <c r="O27" s="197">
        <v>32</v>
      </c>
      <c r="P27" s="198"/>
      <c r="Q27" s="198"/>
      <c r="R27" s="198"/>
      <c r="S27" s="198"/>
      <c r="T27" s="199">
        <v>2</v>
      </c>
      <c r="U27" s="223">
        <v>32</v>
      </c>
      <c r="V27" s="220" t="s">
        <v>299</v>
      </c>
      <c r="W27" s="221"/>
      <c r="X27" s="222"/>
    </row>
    <row r="28" spans="1:24">
      <c r="A28" s="186"/>
      <c r="B28" s="385"/>
      <c r="C28" s="370"/>
      <c r="D28" s="502" t="s">
        <v>148</v>
      </c>
      <c r="E28" s="266"/>
      <c r="F28" s="218"/>
      <c r="G28" s="218"/>
      <c r="H28" s="208"/>
      <c r="I28" s="208"/>
      <c r="J28" s="208"/>
      <c r="K28" s="208"/>
      <c r="L28" s="207">
        <v>6</v>
      </c>
      <c r="M28" s="207">
        <v>96</v>
      </c>
      <c r="N28" s="207">
        <v>4</v>
      </c>
      <c r="O28" s="207">
        <v>64</v>
      </c>
      <c r="P28" s="208"/>
      <c r="Q28" s="208"/>
      <c r="R28" s="208"/>
      <c r="S28" s="208"/>
      <c r="T28" s="207">
        <v>10</v>
      </c>
      <c r="U28" s="209">
        <v>160</v>
      </c>
      <c r="V28" s="210"/>
      <c r="W28" s="211"/>
      <c r="X28" s="186"/>
    </row>
    <row r="29" spans="1:24">
      <c r="A29" s="186"/>
      <c r="B29" s="503" t="s">
        <v>300</v>
      </c>
      <c r="C29" s="501">
        <v>11</v>
      </c>
      <c r="D29" s="228" t="s">
        <v>301</v>
      </c>
      <c r="E29" s="191" t="s">
        <v>302</v>
      </c>
      <c r="F29" s="191">
        <v>30</v>
      </c>
      <c r="G29" s="191">
        <v>3</v>
      </c>
      <c r="H29" s="192"/>
      <c r="I29" s="192"/>
      <c r="J29" s="192"/>
      <c r="K29" s="192"/>
      <c r="L29" s="192"/>
      <c r="M29" s="192"/>
      <c r="N29" s="192"/>
      <c r="O29" s="192"/>
      <c r="P29" s="229">
        <v>2</v>
      </c>
      <c r="Q29" s="191">
        <v>32</v>
      </c>
      <c r="R29" s="192"/>
      <c r="S29" s="192"/>
      <c r="T29" s="193">
        <v>2</v>
      </c>
      <c r="U29" s="194">
        <v>32</v>
      </c>
      <c r="V29" s="195" t="s">
        <v>303</v>
      </c>
      <c r="W29" s="201"/>
      <c r="X29" s="205"/>
    </row>
    <row r="30" spans="1:24">
      <c r="A30" s="186"/>
      <c r="B30" s="392"/>
      <c r="C30" s="481"/>
      <c r="D30" s="230" t="s">
        <v>304</v>
      </c>
      <c r="E30" s="231" t="s">
        <v>305</v>
      </c>
      <c r="F30" s="197">
        <v>45</v>
      </c>
      <c r="G30" s="197">
        <v>3</v>
      </c>
      <c r="H30" s="198"/>
      <c r="I30" s="198"/>
      <c r="J30" s="198"/>
      <c r="K30" s="198"/>
      <c r="L30" s="198"/>
      <c r="M30" s="198"/>
      <c r="N30" s="198"/>
      <c r="O30" s="198"/>
      <c r="P30" s="232">
        <v>2</v>
      </c>
      <c r="Q30" s="197">
        <v>32</v>
      </c>
      <c r="R30" s="198"/>
      <c r="S30" s="198"/>
      <c r="T30" s="199">
        <v>2</v>
      </c>
      <c r="U30" s="200">
        <v>32</v>
      </c>
      <c r="V30" s="195" t="s">
        <v>306</v>
      </c>
      <c r="W30" s="201"/>
      <c r="X30" s="205"/>
    </row>
    <row r="31" spans="1:24">
      <c r="A31" s="186"/>
      <c r="B31" s="392"/>
      <c r="C31" s="481"/>
      <c r="D31" s="233" t="s">
        <v>306</v>
      </c>
      <c r="E31" s="197" t="s">
        <v>307</v>
      </c>
      <c r="F31" s="197">
        <v>45</v>
      </c>
      <c r="G31" s="197">
        <v>4</v>
      </c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232">
        <v>5</v>
      </c>
      <c r="S31" s="197">
        <v>80</v>
      </c>
      <c r="T31" s="199">
        <v>5</v>
      </c>
      <c r="U31" s="200">
        <v>80</v>
      </c>
      <c r="V31" s="234" t="s">
        <v>306</v>
      </c>
      <c r="W31" s="235"/>
      <c r="X31" s="236"/>
    </row>
    <row r="32" spans="1:24">
      <c r="A32" s="186"/>
      <c r="B32" s="392"/>
      <c r="C32" s="481"/>
      <c r="D32" s="233" t="s">
        <v>308</v>
      </c>
      <c r="E32" s="197" t="s">
        <v>309</v>
      </c>
      <c r="F32" s="197">
        <v>15</v>
      </c>
      <c r="G32" s="197">
        <v>2</v>
      </c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232">
        <v>2</v>
      </c>
      <c r="S32" s="197">
        <v>32</v>
      </c>
      <c r="T32" s="199">
        <v>2</v>
      </c>
      <c r="U32" s="200">
        <v>32</v>
      </c>
      <c r="V32" s="195" t="s">
        <v>306</v>
      </c>
      <c r="W32" s="201"/>
      <c r="X32" s="205"/>
    </row>
    <row r="33" spans="1:24">
      <c r="A33" s="186"/>
      <c r="B33" s="385"/>
      <c r="C33" s="370"/>
      <c r="D33" s="502" t="s">
        <v>148</v>
      </c>
      <c r="E33" s="266"/>
      <c r="F33" s="218"/>
      <c r="G33" s="218"/>
      <c r="H33" s="208"/>
      <c r="I33" s="208"/>
      <c r="J33" s="208"/>
      <c r="K33" s="208"/>
      <c r="L33" s="208"/>
      <c r="M33" s="208"/>
      <c r="N33" s="208"/>
      <c r="O33" s="208"/>
      <c r="P33" s="207">
        <v>4</v>
      </c>
      <c r="Q33" s="207">
        <v>64</v>
      </c>
      <c r="R33" s="207">
        <v>7</v>
      </c>
      <c r="S33" s="207">
        <v>112</v>
      </c>
      <c r="T33" s="207">
        <v>11</v>
      </c>
      <c r="U33" s="209">
        <v>176</v>
      </c>
      <c r="V33" s="210"/>
      <c r="W33" s="196" t="s">
        <v>310</v>
      </c>
      <c r="X33" s="237"/>
    </row>
    <row r="34" spans="1:24">
      <c r="A34" s="186"/>
      <c r="B34" s="505" t="s">
        <v>84</v>
      </c>
      <c r="C34" s="501">
        <v>11</v>
      </c>
      <c r="D34" s="238" t="s">
        <v>311</v>
      </c>
      <c r="E34" s="190" t="s">
        <v>312</v>
      </c>
      <c r="F34" s="191">
        <v>50</v>
      </c>
      <c r="G34" s="191">
        <v>5</v>
      </c>
      <c r="H34" s="192"/>
      <c r="I34" s="192"/>
      <c r="J34" s="192"/>
      <c r="K34" s="192"/>
      <c r="L34" s="192"/>
      <c r="M34" s="192"/>
      <c r="N34" s="192"/>
      <c r="O34" s="192"/>
      <c r="P34" s="229">
        <v>2</v>
      </c>
      <c r="Q34" s="191">
        <v>32</v>
      </c>
      <c r="R34" s="192"/>
      <c r="S34" s="192"/>
      <c r="T34" s="193">
        <v>2</v>
      </c>
      <c r="U34" s="194">
        <v>32</v>
      </c>
      <c r="V34" s="239" t="s">
        <v>311</v>
      </c>
      <c r="W34" s="240"/>
      <c r="X34" s="241"/>
    </row>
    <row r="35" spans="1:24">
      <c r="A35" s="186"/>
      <c r="B35" s="392"/>
      <c r="C35" s="481"/>
      <c r="D35" s="233" t="s">
        <v>313</v>
      </c>
      <c r="E35" s="231" t="s">
        <v>314</v>
      </c>
      <c r="F35" s="197">
        <v>45</v>
      </c>
      <c r="G35" s="197">
        <v>2</v>
      </c>
      <c r="H35" s="198"/>
      <c r="I35" s="198"/>
      <c r="J35" s="198"/>
      <c r="K35" s="198"/>
      <c r="L35" s="198"/>
      <c r="M35" s="198"/>
      <c r="N35" s="198"/>
      <c r="O35" s="198"/>
      <c r="P35" s="232">
        <v>1</v>
      </c>
      <c r="Q35" s="197">
        <v>16</v>
      </c>
      <c r="R35" s="198"/>
      <c r="S35" s="198"/>
      <c r="T35" s="199">
        <v>1</v>
      </c>
      <c r="U35" s="200">
        <v>16</v>
      </c>
      <c r="V35" s="239" t="s">
        <v>313</v>
      </c>
      <c r="W35" s="240"/>
      <c r="X35" s="241"/>
    </row>
    <row r="36" spans="1:24">
      <c r="A36" s="186"/>
      <c r="B36" s="392"/>
      <c r="C36" s="481"/>
      <c r="D36" s="233" t="s">
        <v>315</v>
      </c>
      <c r="E36" s="231" t="s">
        <v>316</v>
      </c>
      <c r="F36" s="197">
        <v>60</v>
      </c>
      <c r="G36" s="197">
        <v>4</v>
      </c>
      <c r="H36" s="198"/>
      <c r="I36" s="198"/>
      <c r="J36" s="198"/>
      <c r="K36" s="198"/>
      <c r="L36" s="198"/>
      <c r="M36" s="198"/>
      <c r="N36" s="198"/>
      <c r="O36" s="198"/>
      <c r="P36" s="232">
        <v>1</v>
      </c>
      <c r="Q36" s="197">
        <v>16</v>
      </c>
      <c r="R36" s="198"/>
      <c r="S36" s="198"/>
      <c r="T36" s="199">
        <v>1</v>
      </c>
      <c r="U36" s="200">
        <v>16</v>
      </c>
      <c r="V36" s="234" t="s">
        <v>315</v>
      </c>
      <c r="W36" s="235"/>
      <c r="X36" s="236"/>
    </row>
    <row r="37" spans="1:24">
      <c r="A37" s="186"/>
      <c r="B37" s="392"/>
      <c r="C37" s="481"/>
      <c r="D37" s="233" t="s">
        <v>317</v>
      </c>
      <c r="E37" s="199" t="s">
        <v>318</v>
      </c>
      <c r="F37" s="197">
        <v>45</v>
      </c>
      <c r="G37" s="197">
        <v>3</v>
      </c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232">
        <v>4</v>
      </c>
      <c r="S37" s="197">
        <v>64</v>
      </c>
      <c r="T37" s="199">
        <v>4</v>
      </c>
      <c r="U37" s="200">
        <v>64</v>
      </c>
      <c r="V37" s="217" t="s">
        <v>317</v>
      </c>
      <c r="W37" s="242"/>
      <c r="X37" s="243"/>
    </row>
    <row r="38" spans="1:24">
      <c r="A38" s="186"/>
      <c r="B38" s="392"/>
      <c r="C38" s="481"/>
      <c r="D38" s="233" t="s">
        <v>319</v>
      </c>
      <c r="E38" s="244" t="s">
        <v>320</v>
      </c>
      <c r="F38" s="197">
        <v>45</v>
      </c>
      <c r="G38" s="197">
        <v>3</v>
      </c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232">
        <v>3</v>
      </c>
      <c r="S38" s="197">
        <v>48</v>
      </c>
      <c r="T38" s="199">
        <v>3</v>
      </c>
      <c r="U38" s="200">
        <v>48</v>
      </c>
      <c r="V38" s="239" t="s">
        <v>321</v>
      </c>
      <c r="W38" s="240"/>
      <c r="X38" s="241"/>
    </row>
    <row r="39" spans="1:24">
      <c r="A39" s="186"/>
      <c r="B39" s="385"/>
      <c r="C39" s="370"/>
      <c r="D39" s="502" t="s">
        <v>148</v>
      </c>
      <c r="E39" s="266"/>
      <c r="F39" s="218"/>
      <c r="G39" s="218"/>
      <c r="H39" s="208"/>
      <c r="I39" s="208"/>
      <c r="J39" s="208"/>
      <c r="K39" s="208"/>
      <c r="L39" s="208"/>
      <c r="M39" s="208"/>
      <c r="N39" s="208"/>
      <c r="O39" s="208"/>
      <c r="P39" s="207">
        <v>4</v>
      </c>
      <c r="Q39" s="207">
        <v>64</v>
      </c>
      <c r="R39" s="207">
        <v>7</v>
      </c>
      <c r="S39" s="207">
        <v>112</v>
      </c>
      <c r="T39" s="207">
        <v>11</v>
      </c>
      <c r="U39" s="209">
        <v>176</v>
      </c>
      <c r="V39" s="210"/>
      <c r="W39" s="211"/>
      <c r="X39" s="186"/>
    </row>
    <row r="40" spans="1:24">
      <c r="A40" s="186"/>
      <c r="B40" s="506" t="s">
        <v>322</v>
      </c>
      <c r="C40" s="501">
        <v>30</v>
      </c>
      <c r="D40" s="245" t="s">
        <v>323</v>
      </c>
      <c r="E40" s="193" t="s">
        <v>324</v>
      </c>
      <c r="F40" s="191">
        <v>45</v>
      </c>
      <c r="G40" s="191">
        <v>3</v>
      </c>
      <c r="H40" s="192"/>
      <c r="I40" s="192"/>
      <c r="J40" s="192"/>
      <c r="K40" s="192"/>
      <c r="L40" s="192"/>
      <c r="M40" s="192"/>
      <c r="N40" s="192"/>
      <c r="O40" s="192"/>
      <c r="P40" s="229">
        <v>5</v>
      </c>
      <c r="Q40" s="191">
        <v>80</v>
      </c>
      <c r="R40" s="192"/>
      <c r="S40" s="192"/>
      <c r="T40" s="193">
        <v>5</v>
      </c>
      <c r="U40" s="194">
        <v>80</v>
      </c>
      <c r="V40" s="234" t="s">
        <v>325</v>
      </c>
      <c r="W40" s="246"/>
      <c r="X40" s="247"/>
    </row>
    <row r="41" spans="1:24">
      <c r="A41" s="186"/>
      <c r="B41" s="392"/>
      <c r="C41" s="481"/>
      <c r="D41" s="248" t="s">
        <v>326</v>
      </c>
      <c r="E41" s="199" t="s">
        <v>327</v>
      </c>
      <c r="F41" s="197">
        <v>45</v>
      </c>
      <c r="G41" s="197">
        <v>3</v>
      </c>
      <c r="H41" s="198"/>
      <c r="I41" s="198"/>
      <c r="J41" s="198"/>
      <c r="K41" s="198"/>
      <c r="L41" s="198"/>
      <c r="M41" s="198"/>
      <c r="N41" s="198"/>
      <c r="O41" s="198"/>
      <c r="P41" s="232">
        <v>5</v>
      </c>
      <c r="Q41" s="197">
        <v>80</v>
      </c>
      <c r="R41" s="198"/>
      <c r="S41" s="198"/>
      <c r="T41" s="199">
        <v>5</v>
      </c>
      <c r="U41" s="200">
        <v>80</v>
      </c>
      <c r="V41" s="234" t="s">
        <v>328</v>
      </c>
      <c r="W41" s="235"/>
      <c r="X41" s="236"/>
    </row>
    <row r="42" spans="1:24">
      <c r="A42" s="186"/>
      <c r="B42" s="392"/>
      <c r="C42" s="481"/>
      <c r="D42" s="248" t="s">
        <v>329</v>
      </c>
      <c r="E42" s="231" t="s">
        <v>330</v>
      </c>
      <c r="F42" s="197">
        <v>45</v>
      </c>
      <c r="G42" s="197">
        <v>3</v>
      </c>
      <c r="H42" s="198"/>
      <c r="I42" s="198"/>
      <c r="J42" s="198"/>
      <c r="K42" s="198"/>
      <c r="L42" s="198"/>
      <c r="M42" s="198"/>
      <c r="N42" s="198"/>
      <c r="O42" s="198"/>
      <c r="P42" s="232">
        <v>5</v>
      </c>
      <c r="Q42" s="197">
        <v>80</v>
      </c>
      <c r="R42" s="198"/>
      <c r="S42" s="198"/>
      <c r="T42" s="199">
        <v>5</v>
      </c>
      <c r="U42" s="200">
        <v>80</v>
      </c>
      <c r="V42" s="249" t="s">
        <v>299</v>
      </c>
      <c r="W42" s="196" t="s">
        <v>331</v>
      </c>
      <c r="X42" s="237"/>
    </row>
    <row r="43" spans="1:24">
      <c r="A43" s="186"/>
      <c r="B43" s="392"/>
      <c r="C43" s="481"/>
      <c r="D43" s="230" t="s">
        <v>332</v>
      </c>
      <c r="E43" s="197" t="s">
        <v>333</v>
      </c>
      <c r="F43" s="197">
        <v>50</v>
      </c>
      <c r="G43" s="197">
        <v>3</v>
      </c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232">
        <v>5</v>
      </c>
      <c r="S43" s="197">
        <v>80</v>
      </c>
      <c r="T43" s="199">
        <v>5</v>
      </c>
      <c r="U43" s="200">
        <v>80</v>
      </c>
      <c r="V43" s="249" t="s">
        <v>299</v>
      </c>
      <c r="W43" s="250"/>
      <c r="X43" s="251"/>
    </row>
    <row r="44" spans="1:24">
      <c r="A44" s="186"/>
      <c r="B44" s="392"/>
      <c r="C44" s="481"/>
      <c r="D44" s="248" t="s">
        <v>334</v>
      </c>
      <c r="E44" s="199" t="s">
        <v>335</v>
      </c>
      <c r="F44" s="197">
        <v>45</v>
      </c>
      <c r="G44" s="197">
        <v>4</v>
      </c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232">
        <v>5</v>
      </c>
      <c r="S44" s="197">
        <v>80</v>
      </c>
      <c r="T44" s="199">
        <v>5</v>
      </c>
      <c r="U44" s="200">
        <v>80</v>
      </c>
      <c r="V44" s="234" t="s">
        <v>336</v>
      </c>
      <c r="W44" s="235"/>
      <c r="X44" s="236"/>
    </row>
    <row r="45" spans="1:24">
      <c r="A45" s="186"/>
      <c r="B45" s="392"/>
      <c r="C45" s="481"/>
      <c r="D45" s="248" t="s">
        <v>337</v>
      </c>
      <c r="E45" s="231" t="s">
        <v>338</v>
      </c>
      <c r="F45" s="197">
        <v>60</v>
      </c>
      <c r="G45" s="197">
        <v>4</v>
      </c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232">
        <v>5</v>
      </c>
      <c r="S45" s="197">
        <v>80</v>
      </c>
      <c r="T45" s="199">
        <v>5</v>
      </c>
      <c r="U45" s="200">
        <v>80</v>
      </c>
      <c r="V45" s="249" t="s">
        <v>339</v>
      </c>
      <c r="W45" s="196" t="s">
        <v>331</v>
      </c>
      <c r="X45" s="237"/>
    </row>
    <row r="46" spans="1:24">
      <c r="A46" s="186"/>
      <c r="B46" s="385"/>
      <c r="C46" s="370"/>
      <c r="D46" s="502" t="s">
        <v>148</v>
      </c>
      <c r="E46" s="266"/>
      <c r="F46" s="218"/>
      <c r="G46" s="218"/>
      <c r="H46" s="208"/>
      <c r="I46" s="208"/>
      <c r="J46" s="208"/>
      <c r="K46" s="208"/>
      <c r="L46" s="208"/>
      <c r="M46" s="208"/>
      <c r="N46" s="208"/>
      <c r="O46" s="208"/>
      <c r="P46" s="207">
        <v>15</v>
      </c>
      <c r="Q46" s="207">
        <v>240</v>
      </c>
      <c r="R46" s="207">
        <v>15</v>
      </c>
      <c r="S46" s="207">
        <v>240</v>
      </c>
      <c r="T46" s="207">
        <v>30</v>
      </c>
      <c r="U46" s="209">
        <v>480</v>
      </c>
      <c r="V46" s="210"/>
      <c r="W46" s="211"/>
      <c r="X46" s="186"/>
    </row>
    <row r="47" spans="1:24">
      <c r="A47" s="186"/>
      <c r="B47" s="503" t="s">
        <v>340</v>
      </c>
      <c r="C47" s="501">
        <v>30</v>
      </c>
      <c r="D47" s="238" t="s">
        <v>341</v>
      </c>
      <c r="E47" s="191" t="s">
        <v>342</v>
      </c>
      <c r="F47" s="191">
        <v>50</v>
      </c>
      <c r="G47" s="191">
        <v>5</v>
      </c>
      <c r="H47" s="192"/>
      <c r="I47" s="192"/>
      <c r="J47" s="192"/>
      <c r="K47" s="192"/>
      <c r="L47" s="192"/>
      <c r="M47" s="192"/>
      <c r="N47" s="192"/>
      <c r="O47" s="192"/>
      <c r="P47" s="229">
        <v>5</v>
      </c>
      <c r="Q47" s="191">
        <v>80</v>
      </c>
      <c r="R47" s="192"/>
      <c r="S47" s="192"/>
      <c r="T47" s="193">
        <v>5</v>
      </c>
      <c r="U47" s="194">
        <v>80</v>
      </c>
      <c r="V47" s="252" t="s">
        <v>341</v>
      </c>
      <c r="W47" s="246"/>
      <c r="X47" s="247"/>
    </row>
    <row r="48" spans="1:24">
      <c r="A48" s="186"/>
      <c r="B48" s="392"/>
      <c r="C48" s="481"/>
      <c r="D48" s="230" t="s">
        <v>343</v>
      </c>
      <c r="E48" s="197" t="s">
        <v>344</v>
      </c>
      <c r="F48" s="197">
        <v>50</v>
      </c>
      <c r="G48" s="197">
        <v>5</v>
      </c>
      <c r="H48" s="198"/>
      <c r="I48" s="198"/>
      <c r="J48" s="198"/>
      <c r="K48" s="198"/>
      <c r="L48" s="198"/>
      <c r="M48" s="198"/>
      <c r="N48" s="198"/>
      <c r="O48" s="198"/>
      <c r="P48" s="232">
        <v>5</v>
      </c>
      <c r="Q48" s="197">
        <v>80</v>
      </c>
      <c r="R48" s="198"/>
      <c r="S48" s="198"/>
      <c r="T48" s="199">
        <v>5</v>
      </c>
      <c r="U48" s="200">
        <v>80</v>
      </c>
      <c r="V48" s="249" t="s">
        <v>345</v>
      </c>
      <c r="W48" s="250"/>
      <c r="X48" s="251"/>
    </row>
    <row r="49" spans="1:24">
      <c r="A49" s="186"/>
      <c r="B49" s="392"/>
      <c r="C49" s="481"/>
      <c r="D49" s="230" t="s">
        <v>346</v>
      </c>
      <c r="E49" s="231" t="s">
        <v>347</v>
      </c>
      <c r="F49" s="197">
        <v>20</v>
      </c>
      <c r="G49" s="197">
        <v>3</v>
      </c>
      <c r="H49" s="198"/>
      <c r="I49" s="198"/>
      <c r="J49" s="198"/>
      <c r="K49" s="198"/>
      <c r="L49" s="198"/>
      <c r="M49" s="198"/>
      <c r="N49" s="198"/>
      <c r="O49" s="198"/>
      <c r="P49" s="232">
        <v>5</v>
      </c>
      <c r="Q49" s="197">
        <v>80</v>
      </c>
      <c r="R49" s="198"/>
      <c r="S49" s="198"/>
      <c r="T49" s="199">
        <v>5</v>
      </c>
      <c r="U49" s="200">
        <v>80</v>
      </c>
      <c r="V49" s="214" t="s">
        <v>346</v>
      </c>
      <c r="W49" s="196" t="s">
        <v>331</v>
      </c>
      <c r="X49" s="237"/>
    </row>
    <row r="50" spans="1:24">
      <c r="A50" s="186"/>
      <c r="B50" s="392"/>
      <c r="C50" s="481"/>
      <c r="D50" s="233" t="s">
        <v>348</v>
      </c>
      <c r="E50" s="197" t="s">
        <v>349</v>
      </c>
      <c r="F50" s="197">
        <v>50</v>
      </c>
      <c r="G50" s="197">
        <v>5</v>
      </c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232">
        <v>5</v>
      </c>
      <c r="S50" s="197">
        <v>80</v>
      </c>
      <c r="T50" s="199">
        <v>5</v>
      </c>
      <c r="U50" s="200">
        <v>80</v>
      </c>
      <c r="V50" s="252" t="s">
        <v>350</v>
      </c>
      <c r="W50" s="253"/>
      <c r="X50" s="254"/>
    </row>
    <row r="51" spans="1:24">
      <c r="A51" s="186"/>
      <c r="B51" s="392"/>
      <c r="C51" s="481"/>
      <c r="D51" s="199" t="s">
        <v>351</v>
      </c>
      <c r="E51" s="197" t="s">
        <v>352</v>
      </c>
      <c r="F51" s="197">
        <v>50</v>
      </c>
      <c r="G51" s="197">
        <v>4</v>
      </c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232">
        <v>5</v>
      </c>
      <c r="S51" s="197">
        <v>80</v>
      </c>
      <c r="T51" s="199">
        <v>5</v>
      </c>
      <c r="U51" s="200">
        <v>80</v>
      </c>
      <c r="V51" s="249" t="s">
        <v>353</v>
      </c>
      <c r="W51" s="250"/>
      <c r="X51" s="251"/>
    </row>
    <row r="52" spans="1:24">
      <c r="A52" s="186"/>
      <c r="B52" s="392"/>
      <c r="C52" s="481"/>
      <c r="D52" s="255" t="s">
        <v>354</v>
      </c>
      <c r="E52" s="244" t="s">
        <v>355</v>
      </c>
      <c r="F52" s="197">
        <v>50</v>
      </c>
      <c r="G52" s="197">
        <v>5</v>
      </c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232">
        <v>5</v>
      </c>
      <c r="S52" s="197">
        <v>80</v>
      </c>
      <c r="T52" s="199">
        <v>5</v>
      </c>
      <c r="U52" s="200">
        <v>80</v>
      </c>
      <c r="V52" s="252" t="s">
        <v>354</v>
      </c>
      <c r="W52" s="196" t="s">
        <v>331</v>
      </c>
      <c r="X52" s="237"/>
    </row>
    <row r="53" spans="1:24">
      <c r="A53" s="186"/>
      <c r="B53" s="385"/>
      <c r="C53" s="370"/>
      <c r="D53" s="502" t="s">
        <v>148</v>
      </c>
      <c r="E53" s="266"/>
      <c r="F53" s="218"/>
      <c r="G53" s="218"/>
      <c r="H53" s="208"/>
      <c r="I53" s="208"/>
      <c r="J53" s="208"/>
      <c r="K53" s="208"/>
      <c r="L53" s="208"/>
      <c r="M53" s="208"/>
      <c r="N53" s="208"/>
      <c r="O53" s="208"/>
      <c r="P53" s="207">
        <v>15</v>
      </c>
      <c r="Q53" s="207">
        <v>240</v>
      </c>
      <c r="R53" s="207">
        <v>15</v>
      </c>
      <c r="S53" s="207">
        <v>240</v>
      </c>
      <c r="T53" s="207">
        <v>30</v>
      </c>
      <c r="U53" s="209">
        <v>480</v>
      </c>
      <c r="V53" s="210"/>
      <c r="W53" s="211"/>
      <c r="X53" s="186"/>
    </row>
    <row r="54" spans="1:24">
      <c r="A54" s="186"/>
      <c r="B54" s="306" t="s">
        <v>121</v>
      </c>
      <c r="C54" s="307"/>
      <c r="D54" s="307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</row>
    <row r="55" spans="1:24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</row>
    <row r="56" spans="1:24">
      <c r="A56" s="186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</row>
    <row r="57" spans="1:24">
      <c r="A57" s="186"/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</row>
    <row r="58" spans="1:24">
      <c r="A58" s="186"/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</row>
    <row r="59" spans="1:24">
      <c r="A59" s="186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</row>
    <row r="60" spans="1:24">
      <c r="A60" s="186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</row>
    <row r="61" spans="1:24">
      <c r="A61" s="186"/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</row>
    <row r="62" spans="1:24">
      <c r="A62" s="186"/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</row>
    <row r="63" spans="1:24">
      <c r="A63" s="186"/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</row>
    <row r="64" spans="1:24">
      <c r="A64" s="186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</row>
    <row r="65" spans="1:24">
      <c r="A65" s="186"/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</row>
    <row r="66" spans="1:24">
      <c r="A66" s="186"/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</row>
    <row r="67" spans="1:24">
      <c r="A67" s="186"/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</row>
    <row r="68" spans="1:24">
      <c r="A68" s="186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</row>
    <row r="69" spans="1:24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</row>
    <row r="70" spans="1:24">
      <c r="A70" s="186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</row>
    <row r="71" spans="1:24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</row>
    <row r="72" spans="1:24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</row>
    <row r="73" spans="1:24">
      <c r="A73" s="18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</row>
    <row r="74" spans="1:24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</row>
    <row r="75" spans="1:24">
      <c r="A75" s="186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</row>
    <row r="76" spans="1:24">
      <c r="A76" s="18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</row>
    <row r="77" spans="1:24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</row>
    <row r="78" spans="1:24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</row>
    <row r="79" spans="1:24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</row>
    <row r="80" spans="1:24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</row>
    <row r="81" spans="1:24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</row>
    <row r="82" spans="1:24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</row>
    <row r="83" spans="1:24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</row>
    <row r="84" spans="1:24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</row>
    <row r="85" spans="1:24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</row>
    <row r="86" spans="1:24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</row>
    <row r="87" spans="1:24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</row>
    <row r="88" spans="1:24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</row>
    <row r="89" spans="1:24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</row>
    <row r="90" spans="1:24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</row>
    <row r="91" spans="1:24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</row>
    <row r="92" spans="1:24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</row>
    <row r="93" spans="1:24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</row>
    <row r="94" spans="1:24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</row>
    <row r="95" spans="1:24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</row>
    <row r="96" spans="1:24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</row>
    <row r="97" spans="1:24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</row>
    <row r="98" spans="1:24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</row>
    <row r="99" spans="1:24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</row>
    <row r="100" spans="1:24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</row>
    <row r="101" spans="1:24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</row>
    <row r="102" spans="1:24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</row>
    <row r="103" spans="1:24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</row>
    <row r="104" spans="1:24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</row>
    <row r="105" spans="1:24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</row>
    <row r="106" spans="1:24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</row>
    <row r="107" spans="1:24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</row>
    <row r="108" spans="1:24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</row>
    <row r="109" spans="1:24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</row>
    <row r="110" spans="1:24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</row>
    <row r="111" spans="1:24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</row>
    <row r="112" spans="1:24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</row>
    <row r="113" spans="1:24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</row>
    <row r="114" spans="1:24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</row>
    <row r="115" spans="1:24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</row>
    <row r="116" spans="1:24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</row>
    <row r="117" spans="1:24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</row>
    <row r="118" spans="1:24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</row>
    <row r="119" spans="1:24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</row>
    <row r="120" spans="1:24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</row>
    <row r="121" spans="1:24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</row>
    <row r="122" spans="1:24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</row>
    <row r="123" spans="1:24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</row>
    <row r="124" spans="1:24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</row>
    <row r="125" spans="1:24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</row>
    <row r="126" spans="1:24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</row>
    <row r="127" spans="1:24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</row>
    <row r="128" spans="1:24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</row>
    <row r="129" spans="1:24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</row>
    <row r="130" spans="1:24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</row>
    <row r="131" spans="1:24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</row>
    <row r="132" spans="1:24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</row>
    <row r="133" spans="1:24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</row>
    <row r="134" spans="1:24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</row>
    <row r="135" spans="1:24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</row>
    <row r="136" spans="1:24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</row>
    <row r="137" spans="1:24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</row>
    <row r="138" spans="1:24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</row>
    <row r="139" spans="1:24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</row>
    <row r="140" spans="1:24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</row>
    <row r="141" spans="1:24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</row>
    <row r="142" spans="1:24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</row>
    <row r="143" spans="1:24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</row>
    <row r="144" spans="1:24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</row>
    <row r="145" spans="1:24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</row>
    <row r="146" spans="1:24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</row>
    <row r="147" spans="1:24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</row>
    <row r="148" spans="1:24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</row>
    <row r="149" spans="1:24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</row>
    <row r="150" spans="1:24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</row>
    <row r="151" spans="1:24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</row>
    <row r="152" spans="1:24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</row>
    <row r="153" spans="1:24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</row>
    <row r="154" spans="1:24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</row>
    <row r="155" spans="1:24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</row>
    <row r="156" spans="1:24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</row>
    <row r="157" spans="1:24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</row>
    <row r="158" spans="1:24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</row>
    <row r="159" spans="1:24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</row>
    <row r="160" spans="1:24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</row>
    <row r="161" spans="1:24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</row>
    <row r="162" spans="1:24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</row>
    <row r="163" spans="1:24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</row>
    <row r="164" spans="1:24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</row>
    <row r="165" spans="1:24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</row>
    <row r="166" spans="1:24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</row>
    <row r="167" spans="1:24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</row>
    <row r="168" spans="1:24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</row>
    <row r="169" spans="1:24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</row>
    <row r="170" spans="1:24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</row>
    <row r="171" spans="1:24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</row>
    <row r="172" spans="1:24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</row>
    <row r="173" spans="1:24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</row>
    <row r="174" spans="1:24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</row>
    <row r="175" spans="1:24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</row>
    <row r="176" spans="1:24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</row>
    <row r="177" spans="1:24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</row>
    <row r="178" spans="1:24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</row>
    <row r="179" spans="1:24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</row>
    <row r="180" spans="1:24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</row>
    <row r="181" spans="1:24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</row>
    <row r="182" spans="1:24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</row>
    <row r="183" spans="1:24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</row>
    <row r="184" spans="1:24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</row>
    <row r="185" spans="1:24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</row>
    <row r="186" spans="1:24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</row>
    <row r="187" spans="1:24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</row>
    <row r="188" spans="1:24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</row>
    <row r="189" spans="1:24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</row>
    <row r="190" spans="1:24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</row>
    <row r="191" spans="1:24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</row>
    <row r="192" spans="1:24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</row>
    <row r="193" spans="1:24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</row>
    <row r="194" spans="1:24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</row>
    <row r="195" spans="1:24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</row>
    <row r="196" spans="1:24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</row>
    <row r="197" spans="1:24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</row>
    <row r="198" spans="1:24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</row>
    <row r="199" spans="1:24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</row>
    <row r="200" spans="1:24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</row>
    <row r="201" spans="1:24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</row>
    <row r="202" spans="1:24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</row>
    <row r="203" spans="1:24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</row>
    <row r="204" spans="1:24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</row>
    <row r="205" spans="1:24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</row>
    <row r="206" spans="1:24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</row>
    <row r="207" spans="1:24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</row>
    <row r="208" spans="1:24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</row>
    <row r="209" spans="1:24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</row>
    <row r="210" spans="1:24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</row>
    <row r="211" spans="1:24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</row>
    <row r="212" spans="1:24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</row>
    <row r="213" spans="1:24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</row>
    <row r="214" spans="1:24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</row>
    <row r="215" spans="1:24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</row>
    <row r="216" spans="1:24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</row>
    <row r="217" spans="1:24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</row>
    <row r="218" spans="1:24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</row>
    <row r="219" spans="1:24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</row>
    <row r="220" spans="1:24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</row>
    <row r="221" spans="1:24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</row>
    <row r="222" spans="1:24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</row>
    <row r="223" spans="1:24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</row>
    <row r="224" spans="1:24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</row>
    <row r="225" spans="1:24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</row>
    <row r="226" spans="1:24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</row>
    <row r="227" spans="1:24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</row>
    <row r="228" spans="1:24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</row>
    <row r="229" spans="1:24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</row>
    <row r="230" spans="1:24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</row>
    <row r="231" spans="1:24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</row>
    <row r="232" spans="1:24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</row>
    <row r="233" spans="1:24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</row>
    <row r="234" spans="1:24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</row>
    <row r="235" spans="1:24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</row>
    <row r="236" spans="1:24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</row>
    <row r="237" spans="1:24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</row>
    <row r="238" spans="1:24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</row>
    <row r="239" spans="1:24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</row>
    <row r="240" spans="1:24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</row>
    <row r="241" spans="1:24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</row>
    <row r="242" spans="1:24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</row>
    <row r="243" spans="1:24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</row>
    <row r="244" spans="1:24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</row>
    <row r="245" spans="1:24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</row>
    <row r="246" spans="1:24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</row>
    <row r="247" spans="1:24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</row>
    <row r="248" spans="1:24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</row>
    <row r="249" spans="1:24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</row>
    <row r="250" spans="1:24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</row>
    <row r="251" spans="1:24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</row>
    <row r="252" spans="1:24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</row>
    <row r="253" spans="1:24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</row>
    <row r="254" spans="1:24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</row>
    <row r="255" spans="1:24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</row>
    <row r="256" spans="1:24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</row>
    <row r="257" spans="1:24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</row>
    <row r="258" spans="1:24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</row>
    <row r="259" spans="1:24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</row>
    <row r="260" spans="1:24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</row>
    <row r="261" spans="1:24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</row>
    <row r="262" spans="1:24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</row>
    <row r="263" spans="1:24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</row>
    <row r="264" spans="1:24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</row>
    <row r="265" spans="1:24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</row>
    <row r="266" spans="1:24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</row>
    <row r="267" spans="1:24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</row>
    <row r="268" spans="1:24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</row>
    <row r="269" spans="1:24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</row>
    <row r="270" spans="1:24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</row>
    <row r="271" spans="1:24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</row>
    <row r="272" spans="1:24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</row>
    <row r="273" spans="1:24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</row>
    <row r="274" spans="1:24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</row>
    <row r="275" spans="1:24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</row>
    <row r="276" spans="1:24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</row>
    <row r="277" spans="1:24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</row>
    <row r="278" spans="1:24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</row>
    <row r="279" spans="1:24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</row>
    <row r="280" spans="1:24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</row>
    <row r="281" spans="1:24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</row>
    <row r="282" spans="1:24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</row>
    <row r="283" spans="1:24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</row>
    <row r="284" spans="1:24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</row>
    <row r="285" spans="1:24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</row>
    <row r="286" spans="1:24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</row>
    <row r="287" spans="1:24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</row>
    <row r="288" spans="1:24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</row>
    <row r="289" spans="1:24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</row>
    <row r="290" spans="1:24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</row>
    <row r="291" spans="1:24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</row>
    <row r="292" spans="1:24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</row>
    <row r="293" spans="1:24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</row>
    <row r="294" spans="1:24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</row>
    <row r="295" spans="1:24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</row>
    <row r="296" spans="1:24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</row>
    <row r="297" spans="1:24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</row>
    <row r="298" spans="1:24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</row>
    <row r="299" spans="1:24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</row>
    <row r="300" spans="1:24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</row>
    <row r="301" spans="1:24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</row>
    <row r="302" spans="1:24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</row>
    <row r="303" spans="1:24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</row>
    <row r="304" spans="1:24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</row>
    <row r="305" spans="1:24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</row>
    <row r="306" spans="1:24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</row>
    <row r="307" spans="1:24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</row>
    <row r="308" spans="1:24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</row>
    <row r="309" spans="1:24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</row>
    <row r="310" spans="1:24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</row>
    <row r="311" spans="1:24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</row>
    <row r="312" spans="1:24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</row>
    <row r="313" spans="1:24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</row>
    <row r="314" spans="1:24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</row>
    <row r="315" spans="1:24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</row>
    <row r="316" spans="1:24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</row>
    <row r="317" spans="1:24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</row>
    <row r="318" spans="1:24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</row>
    <row r="319" spans="1:24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</row>
    <row r="320" spans="1:24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</row>
    <row r="321" spans="1:24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</row>
    <row r="322" spans="1:24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</row>
    <row r="323" spans="1:24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</row>
    <row r="324" spans="1:24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</row>
    <row r="325" spans="1:24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</row>
    <row r="326" spans="1:24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</row>
    <row r="327" spans="1:24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</row>
    <row r="328" spans="1:24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</row>
    <row r="329" spans="1:24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</row>
    <row r="330" spans="1:24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</row>
    <row r="331" spans="1:24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</row>
    <row r="332" spans="1:24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</row>
    <row r="333" spans="1:24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</row>
    <row r="334" spans="1:24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</row>
    <row r="335" spans="1:24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</row>
    <row r="336" spans="1:24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</row>
    <row r="337" spans="1:24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</row>
    <row r="338" spans="1:24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</row>
    <row r="339" spans="1:24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</row>
    <row r="340" spans="1:24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</row>
    <row r="341" spans="1:24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</row>
    <row r="342" spans="1:24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</row>
    <row r="343" spans="1:24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</row>
    <row r="344" spans="1:24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</row>
    <row r="345" spans="1:24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</row>
    <row r="346" spans="1:24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</row>
    <row r="347" spans="1:24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</row>
    <row r="348" spans="1:24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</row>
    <row r="349" spans="1:24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</row>
    <row r="350" spans="1:24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</row>
    <row r="351" spans="1:24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</row>
    <row r="352" spans="1:24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</row>
    <row r="353" spans="1:24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</row>
    <row r="354" spans="1:24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</row>
    <row r="355" spans="1:24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</row>
    <row r="356" spans="1:24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</row>
    <row r="357" spans="1:24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</row>
    <row r="358" spans="1:24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</row>
    <row r="359" spans="1:24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</row>
    <row r="360" spans="1:24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</row>
    <row r="361" spans="1:24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</row>
    <row r="362" spans="1:24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</row>
    <row r="363" spans="1:24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</row>
    <row r="364" spans="1:24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</row>
    <row r="365" spans="1:24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</row>
    <row r="366" spans="1:24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</row>
    <row r="367" spans="1:24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</row>
    <row r="368" spans="1:24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</row>
    <row r="369" spans="1:24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</row>
    <row r="370" spans="1:24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</row>
    <row r="371" spans="1:24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</row>
    <row r="372" spans="1:24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</row>
    <row r="373" spans="1:24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</row>
    <row r="374" spans="1:24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</row>
    <row r="375" spans="1:24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</row>
    <row r="376" spans="1:24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</row>
    <row r="377" spans="1:24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</row>
    <row r="378" spans="1:24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</row>
    <row r="379" spans="1:24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</row>
    <row r="380" spans="1:24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</row>
    <row r="381" spans="1:24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</row>
    <row r="382" spans="1:24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</row>
    <row r="383" spans="1:24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</row>
    <row r="384" spans="1:24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</row>
    <row r="385" spans="1:24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</row>
    <row r="386" spans="1:24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</row>
    <row r="387" spans="1:24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</row>
    <row r="388" spans="1:24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</row>
    <row r="389" spans="1:24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</row>
    <row r="390" spans="1:24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</row>
    <row r="391" spans="1:24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</row>
    <row r="392" spans="1:24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</row>
    <row r="393" spans="1:24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</row>
    <row r="394" spans="1:24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</row>
    <row r="395" spans="1:24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</row>
    <row r="396" spans="1:24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</row>
    <row r="397" spans="1:24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</row>
    <row r="398" spans="1:24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</row>
    <row r="399" spans="1:24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</row>
    <row r="400" spans="1:24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</row>
    <row r="401" spans="1:24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</row>
    <row r="402" spans="1:24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</row>
    <row r="403" spans="1:24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</row>
    <row r="404" spans="1:24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</row>
    <row r="405" spans="1:24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</row>
    <row r="406" spans="1:24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</row>
    <row r="407" spans="1:24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</row>
    <row r="408" spans="1:24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</row>
    <row r="409" spans="1:24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</row>
    <row r="410" spans="1:24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</row>
    <row r="411" spans="1:24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</row>
    <row r="412" spans="1:24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</row>
    <row r="413" spans="1:24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</row>
    <row r="414" spans="1:24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</row>
    <row r="415" spans="1:24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</row>
    <row r="416" spans="1:24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</row>
    <row r="417" spans="1:24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</row>
    <row r="418" spans="1:24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</row>
    <row r="419" spans="1:24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</row>
    <row r="420" spans="1:24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</row>
    <row r="421" spans="1:24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</row>
    <row r="422" spans="1:24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</row>
    <row r="423" spans="1:24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</row>
    <row r="424" spans="1:24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</row>
    <row r="425" spans="1:24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</row>
    <row r="426" spans="1:24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</row>
    <row r="427" spans="1:24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</row>
    <row r="428" spans="1:24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</row>
    <row r="429" spans="1:24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</row>
    <row r="430" spans="1:24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</row>
    <row r="431" spans="1:24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</row>
    <row r="432" spans="1:24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</row>
    <row r="433" spans="1:24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</row>
    <row r="434" spans="1:24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</row>
    <row r="435" spans="1:24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</row>
    <row r="436" spans="1:24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</row>
    <row r="437" spans="1:24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</row>
    <row r="438" spans="1:24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</row>
    <row r="439" spans="1:24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</row>
    <row r="440" spans="1:24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</row>
    <row r="441" spans="1:24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</row>
    <row r="442" spans="1:24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</row>
    <row r="443" spans="1:24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</row>
    <row r="444" spans="1:24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</row>
    <row r="445" spans="1:24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</row>
    <row r="446" spans="1:24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</row>
    <row r="447" spans="1:24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</row>
    <row r="448" spans="1:24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</row>
    <row r="449" spans="1:24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</row>
    <row r="450" spans="1:24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</row>
    <row r="451" spans="1:24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</row>
    <row r="452" spans="1:24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</row>
    <row r="453" spans="1:24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</row>
    <row r="454" spans="1:24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</row>
    <row r="455" spans="1:24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</row>
    <row r="456" spans="1:24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</row>
    <row r="457" spans="1:24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</row>
    <row r="458" spans="1:24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</row>
    <row r="459" spans="1:24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</row>
    <row r="460" spans="1:24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</row>
    <row r="461" spans="1:24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</row>
    <row r="462" spans="1:24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</row>
    <row r="463" spans="1:24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</row>
    <row r="464" spans="1:24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</row>
    <row r="465" spans="1:24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</row>
    <row r="466" spans="1:24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</row>
    <row r="467" spans="1:24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</row>
    <row r="468" spans="1:24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</row>
    <row r="469" spans="1:24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</row>
    <row r="470" spans="1:24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</row>
    <row r="471" spans="1:24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</row>
    <row r="472" spans="1:24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</row>
    <row r="473" spans="1:24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</row>
    <row r="474" spans="1:24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</row>
    <row r="475" spans="1:24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</row>
    <row r="476" spans="1:24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</row>
    <row r="477" spans="1:24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</row>
    <row r="478" spans="1:24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</row>
    <row r="479" spans="1:24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</row>
    <row r="480" spans="1:24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</row>
    <row r="481" spans="1:24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</row>
    <row r="482" spans="1:24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</row>
    <row r="483" spans="1:24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</row>
    <row r="484" spans="1:24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</row>
    <row r="485" spans="1:24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</row>
    <row r="486" spans="1:24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</row>
    <row r="487" spans="1:24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</row>
    <row r="488" spans="1:24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</row>
    <row r="489" spans="1:24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</row>
    <row r="490" spans="1:24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</row>
    <row r="491" spans="1:24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</row>
    <row r="492" spans="1:24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</row>
    <row r="493" spans="1:24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</row>
    <row r="494" spans="1:24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</row>
    <row r="495" spans="1:24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</row>
    <row r="496" spans="1:24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</row>
    <row r="497" spans="1:24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</row>
    <row r="498" spans="1:24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</row>
    <row r="499" spans="1:24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</row>
    <row r="500" spans="1:24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</row>
    <row r="501" spans="1:24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</row>
    <row r="502" spans="1:24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</row>
    <row r="503" spans="1:24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</row>
    <row r="504" spans="1:24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</row>
    <row r="505" spans="1:24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</row>
    <row r="506" spans="1:24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</row>
    <row r="507" spans="1:24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</row>
    <row r="508" spans="1:24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</row>
    <row r="509" spans="1:24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</row>
    <row r="510" spans="1:24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</row>
    <row r="511" spans="1:24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</row>
    <row r="512" spans="1:24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</row>
    <row r="513" spans="1:24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</row>
    <row r="514" spans="1:24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</row>
    <row r="515" spans="1:24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</row>
    <row r="516" spans="1:24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</row>
    <row r="517" spans="1:24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</row>
    <row r="518" spans="1:24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</row>
    <row r="519" spans="1:24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</row>
    <row r="520" spans="1:24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</row>
    <row r="521" spans="1:24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</row>
    <row r="522" spans="1:24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</row>
    <row r="523" spans="1:24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</row>
    <row r="524" spans="1:24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</row>
    <row r="525" spans="1:24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</row>
    <row r="526" spans="1:24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</row>
    <row r="527" spans="1:24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</row>
    <row r="528" spans="1:24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</row>
    <row r="529" spans="1:24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</row>
    <row r="530" spans="1:24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</row>
    <row r="531" spans="1:24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</row>
    <row r="532" spans="1:24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</row>
    <row r="533" spans="1:24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</row>
    <row r="534" spans="1:24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</row>
    <row r="535" spans="1:24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</row>
    <row r="536" spans="1:24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</row>
    <row r="537" spans="1:24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</row>
    <row r="538" spans="1:24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</row>
    <row r="539" spans="1:24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</row>
    <row r="540" spans="1:24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</row>
    <row r="541" spans="1:24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</row>
    <row r="542" spans="1:24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</row>
    <row r="543" spans="1:24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</row>
    <row r="544" spans="1:24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</row>
    <row r="545" spans="1:24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</row>
    <row r="546" spans="1:24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</row>
    <row r="547" spans="1:24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</row>
    <row r="548" spans="1:24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</row>
    <row r="549" spans="1:24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</row>
    <row r="550" spans="1:24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</row>
    <row r="551" spans="1:24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</row>
    <row r="552" spans="1:24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</row>
    <row r="553" spans="1:24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</row>
    <row r="554" spans="1:24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</row>
    <row r="555" spans="1:24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</row>
    <row r="556" spans="1:24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</row>
    <row r="557" spans="1:24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</row>
    <row r="558" spans="1:24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</row>
    <row r="559" spans="1:24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</row>
    <row r="560" spans="1:24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</row>
    <row r="561" spans="1:24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</row>
    <row r="562" spans="1:24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</row>
    <row r="563" spans="1:24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</row>
    <row r="564" spans="1:24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</row>
    <row r="565" spans="1:24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</row>
    <row r="566" spans="1:24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</row>
    <row r="567" spans="1:24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</row>
    <row r="568" spans="1:24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</row>
    <row r="569" spans="1:24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</row>
    <row r="570" spans="1:24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</row>
    <row r="571" spans="1:24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</row>
    <row r="572" spans="1:24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</row>
    <row r="573" spans="1:24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</row>
    <row r="574" spans="1:24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</row>
    <row r="575" spans="1:24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</row>
    <row r="576" spans="1:24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</row>
    <row r="577" spans="1:24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</row>
    <row r="578" spans="1:24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</row>
    <row r="579" spans="1:24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</row>
    <row r="580" spans="1:24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</row>
    <row r="581" spans="1:24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</row>
    <row r="582" spans="1:24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</row>
    <row r="583" spans="1:24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</row>
    <row r="584" spans="1:24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</row>
    <row r="585" spans="1:24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</row>
    <row r="586" spans="1:24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</row>
    <row r="587" spans="1:24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</row>
    <row r="588" spans="1:24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</row>
    <row r="589" spans="1:24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</row>
    <row r="590" spans="1:24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</row>
    <row r="591" spans="1:24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</row>
    <row r="592" spans="1:24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</row>
    <row r="593" spans="1:24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</row>
    <row r="594" spans="1:24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</row>
    <row r="595" spans="1:24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</row>
    <row r="596" spans="1:24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</row>
    <row r="597" spans="1:24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</row>
    <row r="598" spans="1:24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</row>
    <row r="599" spans="1:24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</row>
    <row r="600" spans="1:24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</row>
    <row r="601" spans="1:24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</row>
    <row r="602" spans="1:24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</row>
    <row r="603" spans="1:24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</row>
    <row r="604" spans="1:24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</row>
    <row r="605" spans="1:24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</row>
    <row r="606" spans="1:24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</row>
    <row r="607" spans="1:24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</row>
    <row r="608" spans="1:24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</row>
    <row r="609" spans="1:24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</row>
    <row r="610" spans="1:24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</row>
    <row r="611" spans="1:24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</row>
    <row r="612" spans="1:24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</row>
    <row r="613" spans="1:24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</row>
    <row r="614" spans="1:24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</row>
    <row r="615" spans="1:24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</row>
    <row r="616" spans="1:24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</row>
    <row r="617" spans="1:24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</row>
    <row r="618" spans="1:24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</row>
    <row r="619" spans="1:24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</row>
    <row r="620" spans="1:24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</row>
    <row r="621" spans="1:24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</row>
    <row r="622" spans="1:24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</row>
    <row r="623" spans="1:24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</row>
    <row r="624" spans="1:24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</row>
    <row r="625" spans="1:24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</row>
    <row r="626" spans="1:24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</row>
    <row r="627" spans="1:24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</row>
    <row r="628" spans="1:24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</row>
    <row r="629" spans="1:24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</row>
    <row r="630" spans="1:24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</row>
    <row r="631" spans="1:24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</row>
    <row r="632" spans="1:24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</row>
    <row r="633" spans="1:24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</row>
    <row r="634" spans="1:24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</row>
    <row r="635" spans="1:24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</row>
    <row r="636" spans="1:24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</row>
    <row r="637" spans="1:24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</row>
    <row r="638" spans="1:24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</row>
    <row r="639" spans="1:24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</row>
    <row r="640" spans="1:24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</row>
    <row r="641" spans="1:24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</row>
    <row r="642" spans="1:24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</row>
    <row r="643" spans="1:24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</row>
    <row r="644" spans="1:24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</row>
    <row r="645" spans="1:24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</row>
    <row r="646" spans="1:24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</row>
    <row r="647" spans="1:24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</row>
    <row r="648" spans="1:24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</row>
    <row r="649" spans="1:24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</row>
    <row r="650" spans="1:24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</row>
    <row r="651" spans="1:24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</row>
    <row r="652" spans="1:24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</row>
    <row r="653" spans="1:24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</row>
    <row r="654" spans="1:24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</row>
    <row r="655" spans="1:24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</row>
    <row r="656" spans="1:24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</row>
    <row r="657" spans="1:24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</row>
    <row r="658" spans="1:24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</row>
    <row r="659" spans="1:24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</row>
    <row r="660" spans="1:24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</row>
    <row r="661" spans="1:24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</row>
    <row r="662" spans="1:24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</row>
    <row r="663" spans="1:24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</row>
    <row r="664" spans="1:24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</row>
    <row r="665" spans="1:24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</row>
    <row r="666" spans="1:24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</row>
    <row r="667" spans="1:24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</row>
    <row r="668" spans="1:24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</row>
    <row r="669" spans="1:24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</row>
    <row r="670" spans="1:24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</row>
    <row r="671" spans="1:24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</row>
    <row r="672" spans="1:24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</row>
    <row r="673" spans="1:24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</row>
    <row r="674" spans="1:24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</row>
    <row r="675" spans="1:24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</row>
    <row r="676" spans="1:24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</row>
    <row r="677" spans="1:24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</row>
    <row r="678" spans="1:24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</row>
    <row r="679" spans="1:24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</row>
    <row r="680" spans="1:24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</row>
    <row r="681" spans="1:24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</row>
    <row r="682" spans="1:24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</row>
    <row r="683" spans="1:24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</row>
    <row r="684" spans="1:24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</row>
    <row r="685" spans="1:24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</row>
    <row r="686" spans="1:24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</row>
    <row r="687" spans="1:24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</row>
    <row r="688" spans="1:24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</row>
    <row r="689" spans="1:24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</row>
    <row r="690" spans="1:24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</row>
    <row r="691" spans="1:24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</row>
    <row r="692" spans="1:24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</row>
    <row r="693" spans="1:24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</row>
    <row r="694" spans="1:24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</row>
    <row r="695" spans="1:24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</row>
    <row r="696" spans="1:24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</row>
    <row r="697" spans="1:24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</row>
    <row r="698" spans="1:24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</row>
    <row r="699" spans="1:24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</row>
    <row r="700" spans="1:24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</row>
    <row r="701" spans="1:24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</row>
    <row r="702" spans="1:24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</row>
    <row r="703" spans="1:24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</row>
    <row r="704" spans="1:24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</row>
    <row r="705" spans="1:24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</row>
    <row r="706" spans="1:24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</row>
    <row r="707" spans="1:24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</row>
    <row r="708" spans="1:24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</row>
    <row r="709" spans="1:24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</row>
    <row r="710" spans="1:24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</row>
    <row r="711" spans="1:24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</row>
    <row r="712" spans="1:24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</row>
    <row r="713" spans="1:24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</row>
    <row r="714" spans="1:24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</row>
    <row r="715" spans="1:24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</row>
    <row r="716" spans="1:24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</row>
    <row r="717" spans="1:24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</row>
    <row r="718" spans="1:24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</row>
    <row r="719" spans="1:24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</row>
    <row r="720" spans="1:24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</row>
    <row r="721" spans="1:24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</row>
    <row r="722" spans="1:24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</row>
    <row r="723" spans="1:24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</row>
    <row r="724" spans="1:24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</row>
    <row r="725" spans="1:24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</row>
    <row r="726" spans="1:24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</row>
    <row r="727" spans="1:24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</row>
    <row r="728" spans="1:24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</row>
    <row r="729" spans="1:24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</row>
    <row r="730" spans="1:24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</row>
    <row r="731" spans="1:24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</row>
    <row r="732" spans="1:24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</row>
    <row r="733" spans="1:24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</row>
    <row r="734" spans="1:24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</row>
    <row r="735" spans="1:24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</row>
    <row r="736" spans="1:24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</row>
    <row r="737" spans="1:24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</row>
    <row r="738" spans="1:24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</row>
    <row r="739" spans="1:24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</row>
    <row r="740" spans="1:24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</row>
    <row r="741" spans="1:24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</row>
    <row r="742" spans="1:24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</row>
    <row r="743" spans="1:24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</row>
    <row r="744" spans="1:24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</row>
    <row r="745" spans="1:24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</row>
    <row r="746" spans="1:24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</row>
    <row r="747" spans="1:24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</row>
    <row r="748" spans="1:24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</row>
    <row r="749" spans="1:24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</row>
    <row r="750" spans="1:24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</row>
    <row r="751" spans="1:24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</row>
    <row r="752" spans="1:24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</row>
    <row r="753" spans="1:24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</row>
    <row r="754" spans="1:24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</row>
    <row r="755" spans="1:24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</row>
    <row r="756" spans="1:24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</row>
    <row r="757" spans="1:24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</row>
    <row r="758" spans="1:24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</row>
    <row r="759" spans="1:24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</row>
    <row r="760" spans="1:24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</row>
    <row r="761" spans="1:24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</row>
    <row r="762" spans="1:24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</row>
    <row r="763" spans="1:24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</row>
    <row r="764" spans="1:24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</row>
    <row r="765" spans="1:24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</row>
    <row r="766" spans="1:24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</row>
    <row r="767" spans="1:24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</row>
    <row r="768" spans="1:24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</row>
    <row r="769" spans="1:24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</row>
    <row r="770" spans="1:24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</row>
    <row r="771" spans="1:24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</row>
    <row r="772" spans="1:24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</row>
    <row r="773" spans="1:24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</row>
    <row r="774" spans="1:24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</row>
    <row r="775" spans="1:24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</row>
    <row r="776" spans="1:24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</row>
    <row r="777" spans="1:24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</row>
    <row r="778" spans="1:24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</row>
    <row r="779" spans="1:24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</row>
    <row r="780" spans="1:24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</row>
    <row r="781" spans="1:24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</row>
    <row r="782" spans="1:24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</row>
    <row r="783" spans="1:24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</row>
    <row r="784" spans="1:24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</row>
    <row r="785" spans="1:24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</row>
    <row r="786" spans="1:24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</row>
    <row r="787" spans="1:24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</row>
    <row r="788" spans="1:24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</row>
    <row r="789" spans="1:24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</row>
    <row r="790" spans="1:24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</row>
    <row r="791" spans="1:24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</row>
    <row r="792" spans="1:24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</row>
    <row r="793" spans="1:24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</row>
    <row r="794" spans="1:24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</row>
    <row r="795" spans="1:24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</row>
    <row r="796" spans="1:24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</row>
    <row r="797" spans="1:24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</row>
    <row r="798" spans="1:24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</row>
    <row r="799" spans="1:24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</row>
    <row r="800" spans="1:24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</row>
    <row r="801" spans="1:24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</row>
    <row r="802" spans="1:24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</row>
    <row r="803" spans="1:24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</row>
    <row r="804" spans="1:24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</row>
    <row r="805" spans="1:24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</row>
    <row r="806" spans="1:24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</row>
    <row r="807" spans="1:24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</row>
    <row r="808" spans="1:24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</row>
    <row r="809" spans="1:24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</row>
    <row r="810" spans="1:24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</row>
    <row r="811" spans="1:24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</row>
    <row r="812" spans="1:24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</row>
    <row r="813" spans="1:24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</row>
    <row r="814" spans="1:24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</row>
    <row r="815" spans="1:24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</row>
    <row r="816" spans="1:24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</row>
    <row r="817" spans="1:24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</row>
    <row r="818" spans="1:24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</row>
    <row r="819" spans="1:24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</row>
    <row r="820" spans="1:24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</row>
    <row r="821" spans="1:24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</row>
    <row r="822" spans="1:24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</row>
    <row r="823" spans="1:24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</row>
    <row r="824" spans="1:24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</row>
    <row r="825" spans="1:24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</row>
    <row r="826" spans="1:24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</row>
    <row r="827" spans="1:24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</row>
    <row r="828" spans="1:24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</row>
    <row r="829" spans="1:24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</row>
    <row r="830" spans="1:24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</row>
    <row r="831" spans="1:24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</row>
    <row r="832" spans="1:24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</row>
    <row r="833" spans="1:24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</row>
    <row r="834" spans="1:24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</row>
    <row r="835" spans="1:24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</row>
    <row r="836" spans="1:24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</row>
    <row r="837" spans="1:24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</row>
    <row r="838" spans="1:24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</row>
    <row r="839" spans="1:24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</row>
    <row r="840" spans="1:24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</row>
    <row r="841" spans="1:24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</row>
    <row r="842" spans="1:24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</row>
    <row r="843" spans="1:24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</row>
    <row r="844" spans="1:24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</row>
    <row r="845" spans="1:24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</row>
    <row r="846" spans="1:24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</row>
    <row r="847" spans="1:24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</row>
    <row r="848" spans="1:24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</row>
    <row r="849" spans="1:24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</row>
    <row r="850" spans="1:24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</row>
    <row r="851" spans="1:24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</row>
    <row r="852" spans="1:24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</row>
    <row r="853" spans="1:24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</row>
    <row r="854" spans="1:24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</row>
    <row r="855" spans="1:24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</row>
    <row r="856" spans="1:24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</row>
    <row r="857" spans="1:24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</row>
    <row r="858" spans="1:24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</row>
    <row r="859" spans="1:24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</row>
    <row r="860" spans="1:24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</row>
    <row r="861" spans="1:24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</row>
    <row r="862" spans="1:24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</row>
    <row r="863" spans="1:24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</row>
    <row r="864" spans="1:24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</row>
    <row r="865" spans="1:24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</row>
    <row r="866" spans="1:24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</row>
    <row r="867" spans="1:24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</row>
    <row r="868" spans="1:24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</row>
    <row r="869" spans="1:24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</row>
    <row r="870" spans="1:24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</row>
    <row r="871" spans="1:24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</row>
    <row r="872" spans="1:24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</row>
    <row r="873" spans="1:24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</row>
    <row r="874" spans="1:24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</row>
    <row r="875" spans="1:24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</row>
    <row r="876" spans="1:24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</row>
    <row r="877" spans="1:24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</row>
    <row r="878" spans="1:24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</row>
    <row r="879" spans="1:24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</row>
    <row r="880" spans="1:24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</row>
    <row r="881" spans="1:24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</row>
    <row r="882" spans="1:24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</row>
    <row r="883" spans="1:24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</row>
    <row r="884" spans="1:24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</row>
    <row r="885" spans="1:24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</row>
    <row r="886" spans="1:24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</row>
    <row r="887" spans="1:24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</row>
    <row r="888" spans="1:24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</row>
    <row r="889" spans="1:24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</row>
    <row r="890" spans="1:24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</row>
    <row r="891" spans="1:24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</row>
    <row r="892" spans="1:24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</row>
    <row r="893" spans="1:24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</row>
    <row r="894" spans="1:24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</row>
    <row r="895" spans="1:24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</row>
    <row r="896" spans="1:24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</row>
    <row r="897" spans="1:24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</row>
    <row r="898" spans="1:24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</row>
    <row r="899" spans="1:24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</row>
    <row r="900" spans="1:24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</row>
    <row r="901" spans="1:24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</row>
    <row r="902" spans="1:24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</row>
    <row r="903" spans="1:24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</row>
    <row r="904" spans="1:24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</row>
    <row r="905" spans="1:24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</row>
    <row r="906" spans="1:24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</row>
    <row r="907" spans="1:24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</row>
    <row r="908" spans="1:24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</row>
    <row r="909" spans="1:24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</row>
    <row r="910" spans="1:24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</row>
    <row r="911" spans="1:24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</row>
    <row r="912" spans="1:24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</row>
    <row r="913" spans="1:24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</row>
    <row r="914" spans="1:24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</row>
    <row r="915" spans="1:24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</row>
    <row r="916" spans="1:24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</row>
    <row r="917" spans="1:24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</row>
    <row r="918" spans="1:24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</row>
    <row r="919" spans="1:24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</row>
    <row r="920" spans="1:24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</row>
    <row r="921" spans="1:24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</row>
    <row r="922" spans="1:24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</row>
    <row r="923" spans="1:24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</row>
    <row r="924" spans="1:24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</row>
    <row r="925" spans="1:24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</row>
    <row r="926" spans="1:24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</row>
    <row r="927" spans="1:24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</row>
    <row r="928" spans="1:24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</row>
    <row r="929" spans="1:24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</row>
    <row r="930" spans="1:24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</row>
    <row r="931" spans="1:24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</row>
    <row r="932" spans="1:24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</row>
    <row r="933" spans="1:24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</row>
    <row r="934" spans="1:24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</row>
    <row r="935" spans="1:24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</row>
    <row r="936" spans="1:24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</row>
    <row r="937" spans="1:24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</row>
    <row r="938" spans="1:24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</row>
    <row r="939" spans="1:24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</row>
    <row r="940" spans="1:24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</row>
    <row r="941" spans="1:24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</row>
    <row r="942" spans="1:24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</row>
    <row r="943" spans="1:24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</row>
    <row r="944" spans="1:24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</row>
    <row r="945" spans="1:24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</row>
    <row r="946" spans="1:24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</row>
    <row r="947" spans="1:24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</row>
    <row r="948" spans="1:24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</row>
    <row r="949" spans="1:24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</row>
    <row r="950" spans="1:24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</row>
    <row r="951" spans="1:24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</row>
    <row r="952" spans="1:24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</row>
    <row r="953" spans="1:24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</row>
    <row r="954" spans="1:24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</row>
    <row r="955" spans="1:24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</row>
    <row r="956" spans="1:24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</row>
    <row r="957" spans="1:24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</row>
    <row r="958" spans="1:24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</row>
    <row r="959" spans="1:24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</row>
    <row r="960" spans="1:24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</row>
    <row r="961" spans="1:24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</row>
    <row r="962" spans="1:24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</row>
    <row r="963" spans="1:24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</row>
    <row r="964" spans="1:24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</row>
    <row r="965" spans="1:24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</row>
    <row r="966" spans="1:24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</row>
    <row r="967" spans="1:24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</row>
    <row r="968" spans="1:24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</row>
    <row r="969" spans="1:24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</row>
    <row r="970" spans="1:24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</row>
    <row r="971" spans="1:24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</row>
    <row r="972" spans="1:24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</row>
    <row r="973" spans="1:24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</row>
    <row r="974" spans="1:24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</row>
    <row r="975" spans="1:24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</row>
    <row r="976" spans="1:24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</row>
    <row r="977" spans="1:24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</row>
    <row r="978" spans="1:24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</row>
    <row r="979" spans="1:24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</row>
    <row r="980" spans="1:24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</row>
    <row r="981" spans="1:24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</row>
    <row r="982" spans="1:24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</row>
    <row r="983" spans="1:24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</row>
    <row r="984" spans="1:24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</row>
    <row r="985" spans="1:24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</row>
    <row r="986" spans="1:24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</row>
    <row r="987" spans="1:24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</row>
    <row r="988" spans="1:24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</row>
    <row r="989" spans="1:24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</row>
    <row r="990" spans="1:24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</row>
    <row r="991" spans="1:24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</row>
    <row r="992" spans="1:24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</row>
  </sheetData>
  <mergeCells count="52">
    <mergeCell ref="B24:B28"/>
    <mergeCell ref="C24:C28"/>
    <mergeCell ref="D28:E28"/>
    <mergeCell ref="U6:U8"/>
    <mergeCell ref="V6:V8"/>
    <mergeCell ref="W6:W8"/>
    <mergeCell ref="B5:C5"/>
    <mergeCell ref="B6:B8"/>
    <mergeCell ref="C6:C8"/>
    <mergeCell ref="D6:D8"/>
    <mergeCell ref="E6:E8"/>
    <mergeCell ref="F6:F8"/>
    <mergeCell ref="G6:G8"/>
    <mergeCell ref="R7:S7"/>
    <mergeCell ref="H6:K6"/>
    <mergeCell ref="L6:O6"/>
    <mergeCell ref="P6:S6"/>
    <mergeCell ref="T6:T8"/>
    <mergeCell ref="H7:I7"/>
    <mergeCell ref="J7:K7"/>
    <mergeCell ref="L7:M7"/>
    <mergeCell ref="N7:O7"/>
    <mergeCell ref="P7:Q7"/>
    <mergeCell ref="B2:U2"/>
    <mergeCell ref="N3:P3"/>
    <mergeCell ref="Q3:S3"/>
    <mergeCell ref="T3:U3"/>
    <mergeCell ref="N4:P4"/>
    <mergeCell ref="Q4:S4"/>
    <mergeCell ref="T4:U4"/>
    <mergeCell ref="B54:D54"/>
    <mergeCell ref="B29:B33"/>
    <mergeCell ref="C29:C33"/>
    <mergeCell ref="D33:E33"/>
    <mergeCell ref="B34:B39"/>
    <mergeCell ref="C34:C39"/>
    <mergeCell ref="D39:E39"/>
    <mergeCell ref="B40:B46"/>
    <mergeCell ref="C40:C46"/>
    <mergeCell ref="D46:E46"/>
    <mergeCell ref="B47:B53"/>
    <mergeCell ref="C47:C53"/>
    <mergeCell ref="D53:E53"/>
    <mergeCell ref="C19:C23"/>
    <mergeCell ref="D23:E23"/>
    <mergeCell ref="B9:B13"/>
    <mergeCell ref="C9:C13"/>
    <mergeCell ref="D13:E13"/>
    <mergeCell ref="B14:B18"/>
    <mergeCell ref="C14:C18"/>
    <mergeCell ref="D18:E18"/>
    <mergeCell ref="B19:B23"/>
  </mergeCells>
  <phoneticPr fontId="3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2378-5DA8-4117-9EE4-94C04B803159}">
  <dimension ref="A1:L151"/>
  <sheetViews>
    <sheetView workbookViewId="0">
      <selection activeCell="I28" sqref="I28"/>
    </sheetView>
  </sheetViews>
  <sheetFormatPr defaultRowHeight="13.2"/>
  <cols>
    <col min="1" max="1" width="18.33203125" style="541" bestFit="1" customWidth="1"/>
    <col min="2" max="5" width="8.88671875" style="541"/>
    <col min="6" max="6" width="12.6640625" style="541" bestFit="1" customWidth="1"/>
    <col min="7" max="8" width="8.88671875" style="538"/>
    <col min="9" max="9" width="19.5546875" style="538" bestFit="1" customWidth="1"/>
    <col min="10" max="10" width="15" style="538" bestFit="1" customWidth="1"/>
    <col min="11" max="11" width="14.44140625" style="538" bestFit="1" customWidth="1"/>
    <col min="12" max="16384" width="8.88671875" style="538"/>
  </cols>
  <sheetData>
    <row r="1" spans="1:12" ht="16.5" customHeight="1">
      <c r="A1" s="535" t="s">
        <v>365</v>
      </c>
      <c r="B1" s="535" t="s">
        <v>366</v>
      </c>
      <c r="C1" s="535" t="s">
        <v>367</v>
      </c>
      <c r="D1" s="535" t="s">
        <v>368</v>
      </c>
      <c r="E1" s="535" t="s">
        <v>369</v>
      </c>
      <c r="F1" s="535" t="s">
        <v>370</v>
      </c>
      <c r="G1" s="536"/>
      <c r="H1" s="537" t="s">
        <v>371</v>
      </c>
      <c r="I1" s="537" t="s">
        <v>372</v>
      </c>
      <c r="J1" s="537" t="s">
        <v>373</v>
      </c>
      <c r="K1" s="537" t="s">
        <v>374</v>
      </c>
      <c r="L1" s="537" t="s">
        <v>375</v>
      </c>
    </row>
    <row r="2" spans="1:12">
      <c r="A2" s="539" t="s">
        <v>376</v>
      </c>
      <c r="B2" s="539" t="s">
        <v>377</v>
      </c>
      <c r="C2" s="539" t="s">
        <v>378</v>
      </c>
      <c r="D2" s="539" t="s">
        <v>379</v>
      </c>
      <c r="E2" s="539">
        <v>4</v>
      </c>
      <c r="F2" s="540" t="s">
        <v>380</v>
      </c>
      <c r="G2" s="536"/>
      <c r="H2" s="539" t="s">
        <v>381</v>
      </c>
      <c r="I2" s="539" t="s">
        <v>382</v>
      </c>
      <c r="J2" s="539" t="s">
        <v>383</v>
      </c>
      <c r="K2" s="539" t="s">
        <v>383</v>
      </c>
      <c r="L2" s="539" t="s">
        <v>384</v>
      </c>
    </row>
    <row r="3" spans="1:12">
      <c r="A3" s="539" t="s">
        <v>385</v>
      </c>
      <c r="B3" s="539" t="s">
        <v>377</v>
      </c>
      <c r="C3" s="539" t="s">
        <v>378</v>
      </c>
      <c r="D3" s="539" t="s">
        <v>379</v>
      </c>
      <c r="E3" s="539">
        <v>4</v>
      </c>
      <c r="F3" s="540" t="s">
        <v>380</v>
      </c>
      <c r="G3" s="536"/>
      <c r="H3" s="539" t="s">
        <v>386</v>
      </c>
      <c r="I3" s="539" t="s">
        <v>387</v>
      </c>
      <c r="J3" s="539" t="s">
        <v>388</v>
      </c>
      <c r="K3" s="539" t="s">
        <v>388</v>
      </c>
      <c r="L3" s="539" t="s">
        <v>389</v>
      </c>
    </row>
    <row r="4" spans="1:12">
      <c r="A4" s="539" t="s">
        <v>390</v>
      </c>
      <c r="B4" s="539" t="s">
        <v>377</v>
      </c>
      <c r="C4" s="539" t="s">
        <v>378</v>
      </c>
      <c r="D4" s="539" t="s">
        <v>384</v>
      </c>
      <c r="E4" s="539">
        <v>4</v>
      </c>
      <c r="F4" s="540" t="s">
        <v>391</v>
      </c>
      <c r="G4" s="536"/>
      <c r="H4" s="539" t="s">
        <v>392</v>
      </c>
      <c r="I4" s="539" t="s">
        <v>393</v>
      </c>
      <c r="J4" s="539" t="s">
        <v>394</v>
      </c>
      <c r="K4" s="539" t="s">
        <v>394</v>
      </c>
      <c r="L4" s="539" t="s">
        <v>395</v>
      </c>
    </row>
    <row r="5" spans="1:12">
      <c r="A5" s="539" t="s">
        <v>396</v>
      </c>
      <c r="B5" s="539" t="s">
        <v>377</v>
      </c>
      <c r="C5" s="539" t="s">
        <v>378</v>
      </c>
      <c r="D5" s="539" t="s">
        <v>384</v>
      </c>
      <c r="E5" s="539">
        <v>4</v>
      </c>
      <c r="F5" s="540" t="s">
        <v>391</v>
      </c>
      <c r="G5" s="536"/>
      <c r="H5" s="539" t="s">
        <v>397</v>
      </c>
      <c r="I5" s="539" t="s">
        <v>398</v>
      </c>
      <c r="J5" s="539" t="s">
        <v>399</v>
      </c>
      <c r="K5" s="539" t="s">
        <v>399</v>
      </c>
      <c r="L5" s="539"/>
    </row>
    <row r="6" spans="1:12">
      <c r="A6" s="539" t="s">
        <v>400</v>
      </c>
      <c r="B6" s="539" t="s">
        <v>377</v>
      </c>
      <c r="C6" s="539" t="s">
        <v>378</v>
      </c>
      <c r="D6" s="539" t="s">
        <v>384</v>
      </c>
      <c r="E6" s="539">
        <v>4</v>
      </c>
      <c r="F6" s="540" t="s">
        <v>391</v>
      </c>
      <c r="G6" s="536"/>
      <c r="H6" s="539" t="s">
        <v>401</v>
      </c>
      <c r="I6" s="539" t="s">
        <v>402</v>
      </c>
      <c r="J6" s="539" t="s">
        <v>403</v>
      </c>
      <c r="K6" s="539" t="s">
        <v>403</v>
      </c>
      <c r="L6" s="539"/>
    </row>
    <row r="7" spans="1:12">
      <c r="A7" s="539" t="s">
        <v>404</v>
      </c>
      <c r="B7" s="539" t="s">
        <v>377</v>
      </c>
      <c r="C7" s="539" t="s">
        <v>378</v>
      </c>
      <c r="D7" s="539" t="s">
        <v>405</v>
      </c>
      <c r="E7" s="539">
        <v>4</v>
      </c>
      <c r="F7" s="540" t="s">
        <v>391</v>
      </c>
      <c r="G7" s="536"/>
      <c r="H7" s="539" t="s">
        <v>406</v>
      </c>
      <c r="I7" s="539" t="s">
        <v>407</v>
      </c>
      <c r="J7" s="539" t="s">
        <v>408</v>
      </c>
      <c r="K7" s="539" t="s">
        <v>408</v>
      </c>
      <c r="L7" s="536"/>
    </row>
    <row r="8" spans="1:12">
      <c r="A8" s="539" t="s">
        <v>409</v>
      </c>
      <c r="B8" s="539" t="s">
        <v>377</v>
      </c>
      <c r="C8" s="539" t="s">
        <v>378</v>
      </c>
      <c r="D8" s="539" t="s">
        <v>405</v>
      </c>
      <c r="E8" s="539">
        <v>4</v>
      </c>
      <c r="F8" s="540" t="s">
        <v>391</v>
      </c>
      <c r="G8" s="536"/>
      <c r="H8" s="539" t="s">
        <v>410</v>
      </c>
      <c r="I8" s="539" t="s">
        <v>411</v>
      </c>
      <c r="J8" s="539" t="s">
        <v>412</v>
      </c>
      <c r="K8" s="539" t="s">
        <v>412</v>
      </c>
      <c r="L8" s="536"/>
    </row>
    <row r="9" spans="1:12">
      <c r="A9" s="539" t="s">
        <v>413</v>
      </c>
      <c r="B9" s="539" t="s">
        <v>377</v>
      </c>
      <c r="C9" s="539" t="s">
        <v>378</v>
      </c>
      <c r="D9" s="539" t="s">
        <v>405</v>
      </c>
      <c r="E9" s="539">
        <v>4</v>
      </c>
      <c r="F9" s="540" t="s">
        <v>391</v>
      </c>
      <c r="G9" s="536"/>
      <c r="H9" s="539" t="s">
        <v>414</v>
      </c>
      <c r="I9" s="539" t="s">
        <v>415</v>
      </c>
      <c r="J9" s="539" t="s">
        <v>416</v>
      </c>
      <c r="K9" s="539" t="s">
        <v>416</v>
      </c>
      <c r="L9" s="536"/>
    </row>
    <row r="10" spans="1:12">
      <c r="A10" s="539" t="s">
        <v>417</v>
      </c>
      <c r="B10" s="539" t="s">
        <v>377</v>
      </c>
      <c r="C10" s="539" t="s">
        <v>378</v>
      </c>
      <c r="D10" s="539" t="s">
        <v>418</v>
      </c>
      <c r="E10" s="539">
        <v>4</v>
      </c>
      <c r="F10" s="540" t="s">
        <v>391</v>
      </c>
      <c r="G10" s="536"/>
      <c r="H10" s="539" t="s">
        <v>419</v>
      </c>
      <c r="I10" s="539" t="s">
        <v>420</v>
      </c>
      <c r="J10" s="539" t="s">
        <v>421</v>
      </c>
      <c r="K10" s="539" t="s">
        <v>421</v>
      </c>
      <c r="L10" s="536"/>
    </row>
    <row r="11" spans="1:12">
      <c r="A11" s="539" t="s">
        <v>422</v>
      </c>
      <c r="B11" s="539" t="s">
        <v>377</v>
      </c>
      <c r="C11" s="539" t="s">
        <v>378</v>
      </c>
      <c r="D11" s="539" t="s">
        <v>418</v>
      </c>
      <c r="E11" s="539">
        <v>4</v>
      </c>
      <c r="F11" s="540" t="s">
        <v>391</v>
      </c>
      <c r="G11" s="536"/>
      <c r="H11" s="539" t="s">
        <v>423</v>
      </c>
      <c r="I11" s="539" t="s">
        <v>424</v>
      </c>
      <c r="J11" s="539" t="s">
        <v>425</v>
      </c>
      <c r="K11" s="539" t="s">
        <v>425</v>
      </c>
      <c r="L11" s="536"/>
    </row>
    <row r="12" spans="1:12">
      <c r="A12" s="539" t="s">
        <v>426</v>
      </c>
      <c r="B12" s="539" t="s">
        <v>377</v>
      </c>
      <c r="C12" s="539" t="s">
        <v>378</v>
      </c>
      <c r="D12" s="539" t="s">
        <v>418</v>
      </c>
      <c r="E12" s="539">
        <v>4</v>
      </c>
      <c r="F12" s="540" t="s">
        <v>391</v>
      </c>
      <c r="G12" s="536"/>
      <c r="H12" s="539" t="s">
        <v>427</v>
      </c>
      <c r="I12" s="539" t="s">
        <v>428</v>
      </c>
      <c r="J12" s="539" t="s">
        <v>429</v>
      </c>
      <c r="K12" s="539" t="s">
        <v>429</v>
      </c>
      <c r="L12" s="536"/>
    </row>
    <row r="13" spans="1:12">
      <c r="A13" s="539" t="s">
        <v>430</v>
      </c>
      <c r="B13" s="539" t="s">
        <v>377</v>
      </c>
      <c r="C13" s="539" t="s">
        <v>431</v>
      </c>
      <c r="D13" s="539" t="s">
        <v>379</v>
      </c>
      <c r="E13" s="539">
        <v>4</v>
      </c>
      <c r="F13" s="540" t="s">
        <v>380</v>
      </c>
      <c r="G13" s="536"/>
      <c r="H13" s="539" t="s">
        <v>432</v>
      </c>
      <c r="I13" s="539" t="s">
        <v>433</v>
      </c>
      <c r="J13" s="539" t="s">
        <v>434</v>
      </c>
      <c r="K13" s="539" t="s">
        <v>434</v>
      </c>
      <c r="L13" s="536"/>
    </row>
    <row r="14" spans="1:12">
      <c r="A14" s="539" t="s">
        <v>435</v>
      </c>
      <c r="B14" s="539" t="s">
        <v>377</v>
      </c>
      <c r="C14" s="539" t="s">
        <v>431</v>
      </c>
      <c r="D14" s="539" t="s">
        <v>379</v>
      </c>
      <c r="E14" s="539">
        <v>4</v>
      </c>
      <c r="F14" s="540" t="s">
        <v>380</v>
      </c>
      <c r="G14" s="536"/>
      <c r="H14" s="539" t="s">
        <v>436</v>
      </c>
      <c r="I14" s="539" t="s">
        <v>437</v>
      </c>
      <c r="J14" s="539" t="s">
        <v>438</v>
      </c>
      <c r="K14" s="539" t="s">
        <v>438</v>
      </c>
      <c r="L14" s="536"/>
    </row>
    <row r="15" spans="1:12">
      <c r="A15" s="539" t="s">
        <v>439</v>
      </c>
      <c r="B15" s="539" t="s">
        <v>377</v>
      </c>
      <c r="C15" s="539" t="s">
        <v>431</v>
      </c>
      <c r="D15" s="539" t="s">
        <v>384</v>
      </c>
      <c r="E15" s="539">
        <v>4</v>
      </c>
      <c r="F15" s="540" t="s">
        <v>391</v>
      </c>
      <c r="G15" s="536"/>
      <c r="H15" s="539" t="s">
        <v>440</v>
      </c>
      <c r="I15" s="539" t="s">
        <v>441</v>
      </c>
      <c r="J15" s="539" t="s">
        <v>442</v>
      </c>
      <c r="K15" s="539" t="s">
        <v>442</v>
      </c>
      <c r="L15" s="536"/>
    </row>
    <row r="16" spans="1:12">
      <c r="A16" s="539" t="s">
        <v>443</v>
      </c>
      <c r="B16" s="539" t="s">
        <v>377</v>
      </c>
      <c r="C16" s="539" t="s">
        <v>431</v>
      </c>
      <c r="D16" s="539" t="s">
        <v>384</v>
      </c>
      <c r="E16" s="539">
        <v>4</v>
      </c>
      <c r="F16" s="540" t="s">
        <v>391</v>
      </c>
      <c r="G16" s="536"/>
      <c r="H16" s="539" t="s">
        <v>444</v>
      </c>
      <c r="I16" s="539" t="s">
        <v>445</v>
      </c>
      <c r="J16" s="539" t="s">
        <v>446</v>
      </c>
      <c r="K16" s="539" t="s">
        <v>446</v>
      </c>
      <c r="L16" s="536"/>
    </row>
    <row r="17" spans="1:12">
      <c r="A17" s="539" t="s">
        <v>447</v>
      </c>
      <c r="B17" s="539" t="s">
        <v>377</v>
      </c>
      <c r="C17" s="539" t="s">
        <v>431</v>
      </c>
      <c r="D17" s="539" t="s">
        <v>384</v>
      </c>
      <c r="E17" s="539">
        <v>4</v>
      </c>
      <c r="F17" s="540" t="s">
        <v>391</v>
      </c>
      <c r="G17" s="536"/>
      <c r="H17" s="539" t="s">
        <v>448</v>
      </c>
      <c r="I17" s="539" t="s">
        <v>449</v>
      </c>
      <c r="J17" s="539" t="s">
        <v>450</v>
      </c>
      <c r="K17" s="539" t="s">
        <v>450</v>
      </c>
      <c r="L17" s="536"/>
    </row>
    <row r="18" spans="1:12">
      <c r="A18" s="539" t="s">
        <v>451</v>
      </c>
      <c r="B18" s="539" t="s">
        <v>377</v>
      </c>
      <c r="C18" s="539" t="s">
        <v>431</v>
      </c>
      <c r="D18" s="539" t="s">
        <v>405</v>
      </c>
      <c r="E18" s="539">
        <v>4</v>
      </c>
      <c r="F18" s="540" t="s">
        <v>391</v>
      </c>
      <c r="G18" s="536"/>
      <c r="H18" s="539" t="s">
        <v>452</v>
      </c>
      <c r="I18" s="539" t="s">
        <v>453</v>
      </c>
      <c r="J18" s="539" t="s">
        <v>454</v>
      </c>
      <c r="K18" s="539" t="s">
        <v>454</v>
      </c>
      <c r="L18" s="536"/>
    </row>
    <row r="19" spans="1:12">
      <c r="A19" s="539" t="s">
        <v>455</v>
      </c>
      <c r="B19" s="539" t="s">
        <v>377</v>
      </c>
      <c r="C19" s="539" t="s">
        <v>431</v>
      </c>
      <c r="D19" s="539" t="s">
        <v>405</v>
      </c>
      <c r="E19" s="539">
        <v>4</v>
      </c>
      <c r="F19" s="540" t="s">
        <v>391</v>
      </c>
      <c r="G19" s="536"/>
      <c r="J19" s="539" t="s">
        <v>456</v>
      </c>
      <c r="K19" s="539" t="s">
        <v>456</v>
      </c>
      <c r="L19" s="536"/>
    </row>
    <row r="20" spans="1:12">
      <c r="A20" s="539" t="s">
        <v>457</v>
      </c>
      <c r="B20" s="539" t="s">
        <v>377</v>
      </c>
      <c r="C20" s="539" t="s">
        <v>431</v>
      </c>
      <c r="D20" s="539" t="s">
        <v>405</v>
      </c>
      <c r="E20" s="539">
        <v>4</v>
      </c>
      <c r="F20" s="540" t="s">
        <v>391</v>
      </c>
      <c r="G20" s="536"/>
      <c r="J20" s="539" t="s">
        <v>458</v>
      </c>
      <c r="K20" s="539" t="s">
        <v>458</v>
      </c>
      <c r="L20" s="536"/>
    </row>
    <row r="21" spans="1:12">
      <c r="A21" s="539" t="s">
        <v>459</v>
      </c>
      <c r="B21" s="539" t="s">
        <v>377</v>
      </c>
      <c r="C21" s="539" t="s">
        <v>431</v>
      </c>
      <c r="D21" s="539" t="s">
        <v>405</v>
      </c>
      <c r="E21" s="539">
        <v>4</v>
      </c>
      <c r="F21" s="540" t="s">
        <v>391</v>
      </c>
      <c r="G21" s="536"/>
      <c r="J21" s="539" t="s">
        <v>460</v>
      </c>
      <c r="K21" s="539" t="s">
        <v>460</v>
      </c>
      <c r="L21" s="536"/>
    </row>
    <row r="22" spans="1:12">
      <c r="A22" s="539" t="s">
        <v>461</v>
      </c>
      <c r="B22" s="539" t="s">
        <v>377</v>
      </c>
      <c r="C22" s="539" t="s">
        <v>431</v>
      </c>
      <c r="D22" s="539" t="s">
        <v>405</v>
      </c>
      <c r="E22" s="539">
        <v>4</v>
      </c>
      <c r="F22" s="540" t="s">
        <v>391</v>
      </c>
      <c r="G22" s="536"/>
      <c r="H22" s="539"/>
      <c r="I22" s="539"/>
      <c r="J22" s="539" t="s">
        <v>462</v>
      </c>
      <c r="K22" s="539" t="s">
        <v>462</v>
      </c>
      <c r="L22" s="536"/>
    </row>
    <row r="23" spans="1:12">
      <c r="A23" s="539" t="s">
        <v>463</v>
      </c>
      <c r="B23" s="539" t="s">
        <v>377</v>
      </c>
      <c r="C23" s="539" t="s">
        <v>431</v>
      </c>
      <c r="D23" s="539" t="s">
        <v>418</v>
      </c>
      <c r="E23" s="539">
        <v>4</v>
      </c>
      <c r="F23" s="540" t="s">
        <v>391</v>
      </c>
      <c r="G23" s="536"/>
      <c r="H23" s="539"/>
      <c r="I23" s="539"/>
      <c r="J23" s="539" t="s">
        <v>464</v>
      </c>
      <c r="K23" s="539" t="s">
        <v>464</v>
      </c>
      <c r="L23" s="536"/>
    </row>
    <row r="24" spans="1:12">
      <c r="A24" s="539" t="s">
        <v>465</v>
      </c>
      <c r="B24" s="539" t="s">
        <v>377</v>
      </c>
      <c r="C24" s="539" t="s">
        <v>431</v>
      </c>
      <c r="D24" s="539" t="s">
        <v>418</v>
      </c>
      <c r="E24" s="539">
        <v>4</v>
      </c>
      <c r="F24" s="540" t="s">
        <v>391</v>
      </c>
      <c r="G24" s="536"/>
      <c r="H24" s="539"/>
      <c r="I24" s="539"/>
      <c r="J24" s="539" t="s">
        <v>466</v>
      </c>
      <c r="K24" s="539" t="s">
        <v>466</v>
      </c>
      <c r="L24" s="536"/>
    </row>
    <row r="25" spans="1:12">
      <c r="A25" s="539" t="s">
        <v>467</v>
      </c>
      <c r="B25" s="539" t="s">
        <v>377</v>
      </c>
      <c r="C25" s="539" t="s">
        <v>431</v>
      </c>
      <c r="D25" s="539" t="s">
        <v>418</v>
      </c>
      <c r="E25" s="539">
        <v>4</v>
      </c>
      <c r="F25" s="540" t="s">
        <v>391</v>
      </c>
      <c r="G25" s="536"/>
      <c r="H25" s="539"/>
      <c r="I25" s="539"/>
      <c r="J25" s="539" t="s">
        <v>468</v>
      </c>
      <c r="K25" s="539" t="s">
        <v>468</v>
      </c>
      <c r="L25" s="536"/>
    </row>
    <row r="26" spans="1:12">
      <c r="A26" s="539" t="s">
        <v>469</v>
      </c>
      <c r="B26" s="539" t="s">
        <v>377</v>
      </c>
      <c r="C26" s="539" t="s">
        <v>470</v>
      </c>
      <c r="D26" s="539" t="s">
        <v>379</v>
      </c>
      <c r="E26" s="539">
        <v>4</v>
      </c>
      <c r="F26" s="540" t="s">
        <v>380</v>
      </c>
      <c r="G26" s="536"/>
      <c r="H26" s="536"/>
      <c r="I26" s="539"/>
      <c r="J26" s="539" t="s">
        <v>471</v>
      </c>
      <c r="K26" s="539" t="s">
        <v>471</v>
      </c>
      <c r="L26" s="536"/>
    </row>
    <row r="27" spans="1:12">
      <c r="A27" s="539" t="s">
        <v>472</v>
      </c>
      <c r="B27" s="539" t="s">
        <v>377</v>
      </c>
      <c r="C27" s="539" t="s">
        <v>470</v>
      </c>
      <c r="D27" s="539" t="s">
        <v>384</v>
      </c>
      <c r="E27" s="539">
        <v>4</v>
      </c>
      <c r="F27" s="540" t="s">
        <v>391</v>
      </c>
      <c r="G27" s="536"/>
      <c r="H27" s="536"/>
      <c r="I27" s="536"/>
      <c r="J27" s="539" t="s">
        <v>473</v>
      </c>
      <c r="K27" s="539" t="s">
        <v>473</v>
      </c>
      <c r="L27" s="536"/>
    </row>
    <row r="28" spans="1:12">
      <c r="A28" s="539" t="s">
        <v>474</v>
      </c>
      <c r="B28" s="539" t="s">
        <v>377</v>
      </c>
      <c r="C28" s="539" t="s">
        <v>470</v>
      </c>
      <c r="D28" s="539" t="s">
        <v>384</v>
      </c>
      <c r="E28" s="539">
        <v>4</v>
      </c>
      <c r="F28" s="540" t="s">
        <v>391</v>
      </c>
      <c r="G28" s="536"/>
      <c r="H28" s="536"/>
      <c r="I28" s="536"/>
      <c r="J28" s="539" t="s">
        <v>475</v>
      </c>
      <c r="K28" s="539" t="s">
        <v>475</v>
      </c>
      <c r="L28" s="536"/>
    </row>
    <row r="29" spans="1:12">
      <c r="A29" s="539" t="s">
        <v>476</v>
      </c>
      <c r="B29" s="539" t="s">
        <v>377</v>
      </c>
      <c r="C29" s="539" t="s">
        <v>470</v>
      </c>
      <c r="D29" s="539" t="s">
        <v>384</v>
      </c>
      <c r="E29" s="539">
        <v>4</v>
      </c>
      <c r="F29" s="540" t="s">
        <v>391</v>
      </c>
      <c r="G29" s="536"/>
      <c r="H29" s="536"/>
      <c r="I29" s="536"/>
      <c r="J29" s="539" t="s">
        <v>477</v>
      </c>
      <c r="K29" s="539" t="s">
        <v>477</v>
      </c>
      <c r="L29" s="536"/>
    </row>
    <row r="30" spans="1:12">
      <c r="A30" s="539" t="s">
        <v>478</v>
      </c>
      <c r="B30" s="539" t="s">
        <v>377</v>
      </c>
      <c r="C30" s="539" t="s">
        <v>470</v>
      </c>
      <c r="D30" s="539" t="s">
        <v>384</v>
      </c>
      <c r="E30" s="539">
        <v>4</v>
      </c>
      <c r="F30" s="540" t="s">
        <v>391</v>
      </c>
      <c r="G30" s="536"/>
      <c r="H30" s="536"/>
      <c r="I30" s="536"/>
      <c r="J30" s="539" t="s">
        <v>479</v>
      </c>
      <c r="K30" s="539" t="s">
        <v>479</v>
      </c>
      <c r="L30" s="536"/>
    </row>
    <row r="31" spans="1:12">
      <c r="A31" s="539" t="s">
        <v>480</v>
      </c>
      <c r="B31" s="539" t="s">
        <v>377</v>
      </c>
      <c r="C31" s="539" t="s">
        <v>470</v>
      </c>
      <c r="D31" s="539" t="s">
        <v>405</v>
      </c>
      <c r="E31" s="539">
        <v>4</v>
      </c>
      <c r="F31" s="540" t="s">
        <v>391</v>
      </c>
      <c r="G31" s="536"/>
      <c r="H31" s="536"/>
      <c r="I31" s="536"/>
      <c r="J31" s="539" t="s">
        <v>481</v>
      </c>
      <c r="K31" s="539" t="s">
        <v>481</v>
      </c>
      <c r="L31" s="536"/>
    </row>
    <row r="32" spans="1:12">
      <c r="A32" s="539" t="s">
        <v>482</v>
      </c>
      <c r="B32" s="539" t="s">
        <v>377</v>
      </c>
      <c r="C32" s="539" t="s">
        <v>470</v>
      </c>
      <c r="D32" s="539" t="s">
        <v>405</v>
      </c>
      <c r="E32" s="539">
        <v>4</v>
      </c>
      <c r="F32" s="540" t="s">
        <v>391</v>
      </c>
      <c r="G32" s="536"/>
      <c r="H32" s="536"/>
      <c r="I32" s="536"/>
      <c r="J32" s="539" t="s">
        <v>483</v>
      </c>
      <c r="K32" s="539" t="s">
        <v>483</v>
      </c>
      <c r="L32" s="536"/>
    </row>
    <row r="33" spans="1:12">
      <c r="A33" s="539" t="s">
        <v>484</v>
      </c>
      <c r="B33" s="539" t="s">
        <v>377</v>
      </c>
      <c r="C33" s="539" t="s">
        <v>470</v>
      </c>
      <c r="D33" s="539" t="s">
        <v>405</v>
      </c>
      <c r="E33" s="539">
        <v>4</v>
      </c>
      <c r="F33" s="540" t="s">
        <v>391</v>
      </c>
      <c r="G33" s="536"/>
      <c r="H33" s="536"/>
      <c r="I33" s="536"/>
      <c r="J33" s="539" t="s">
        <v>485</v>
      </c>
      <c r="K33" s="539" t="s">
        <v>485</v>
      </c>
      <c r="L33" s="536"/>
    </row>
    <row r="34" spans="1:12">
      <c r="A34" s="539" t="s">
        <v>486</v>
      </c>
      <c r="B34" s="539" t="s">
        <v>377</v>
      </c>
      <c r="C34" s="539" t="s">
        <v>470</v>
      </c>
      <c r="D34" s="539" t="s">
        <v>405</v>
      </c>
      <c r="E34" s="539">
        <v>4</v>
      </c>
      <c r="F34" s="540" t="s">
        <v>391</v>
      </c>
      <c r="G34" s="536"/>
      <c r="H34" s="536"/>
      <c r="I34" s="536"/>
      <c r="J34" s="539" t="s">
        <v>487</v>
      </c>
      <c r="K34" s="539" t="s">
        <v>487</v>
      </c>
      <c r="L34" s="536"/>
    </row>
    <row r="35" spans="1:12">
      <c r="A35" s="539" t="s">
        <v>488</v>
      </c>
      <c r="B35" s="539" t="s">
        <v>377</v>
      </c>
      <c r="C35" s="539" t="s">
        <v>470</v>
      </c>
      <c r="D35" s="539" t="s">
        <v>405</v>
      </c>
      <c r="E35" s="539">
        <v>4</v>
      </c>
      <c r="F35" s="540" t="s">
        <v>391</v>
      </c>
      <c r="G35" s="536"/>
      <c r="H35" s="536"/>
      <c r="I35" s="536"/>
      <c r="J35" s="539" t="s">
        <v>489</v>
      </c>
      <c r="K35" s="539" t="s">
        <v>489</v>
      </c>
      <c r="L35" s="536"/>
    </row>
    <row r="36" spans="1:12">
      <c r="A36" s="539" t="s">
        <v>490</v>
      </c>
      <c r="B36" s="539" t="s">
        <v>377</v>
      </c>
      <c r="C36" s="539" t="s">
        <v>470</v>
      </c>
      <c r="D36" s="539" t="s">
        <v>418</v>
      </c>
      <c r="E36" s="539">
        <v>4</v>
      </c>
      <c r="F36" s="540" t="s">
        <v>391</v>
      </c>
      <c r="G36" s="536"/>
      <c r="H36" s="536"/>
      <c r="I36" s="536"/>
      <c r="J36" s="539" t="s">
        <v>491</v>
      </c>
      <c r="K36" s="539" t="s">
        <v>491</v>
      </c>
      <c r="L36" s="536"/>
    </row>
    <row r="37" spans="1:12">
      <c r="A37" s="539" t="s">
        <v>492</v>
      </c>
      <c r="B37" s="539" t="s">
        <v>377</v>
      </c>
      <c r="C37" s="539" t="s">
        <v>470</v>
      </c>
      <c r="D37" s="539" t="s">
        <v>418</v>
      </c>
      <c r="E37" s="539">
        <v>4</v>
      </c>
      <c r="F37" s="540" t="s">
        <v>391</v>
      </c>
      <c r="G37" s="536"/>
      <c r="H37" s="536"/>
      <c r="I37" s="536"/>
      <c r="J37" s="539" t="s">
        <v>493</v>
      </c>
      <c r="K37" s="539" t="s">
        <v>493</v>
      </c>
      <c r="L37" s="536"/>
    </row>
    <row r="38" spans="1:12">
      <c r="A38" s="539" t="s">
        <v>494</v>
      </c>
      <c r="B38" s="539" t="s">
        <v>377</v>
      </c>
      <c r="C38" s="539" t="s">
        <v>470</v>
      </c>
      <c r="D38" s="539" t="s">
        <v>418</v>
      </c>
      <c r="E38" s="539">
        <v>4</v>
      </c>
      <c r="F38" s="540" t="s">
        <v>391</v>
      </c>
      <c r="G38" s="536"/>
      <c r="H38" s="536"/>
      <c r="I38" s="536"/>
      <c r="J38" s="539" t="s">
        <v>495</v>
      </c>
      <c r="K38" s="539" t="s">
        <v>495</v>
      </c>
      <c r="L38" s="536"/>
    </row>
    <row r="39" spans="1:12">
      <c r="A39" s="539" t="s">
        <v>496</v>
      </c>
      <c r="B39" s="539" t="s">
        <v>377</v>
      </c>
      <c r="C39" s="539" t="s">
        <v>497</v>
      </c>
      <c r="D39" s="539" t="s">
        <v>379</v>
      </c>
      <c r="E39" s="539">
        <v>3</v>
      </c>
      <c r="F39" s="540" t="s">
        <v>498</v>
      </c>
      <c r="G39" s="536"/>
      <c r="H39" s="536"/>
      <c r="I39" s="536"/>
      <c r="J39" s="539" t="s">
        <v>499</v>
      </c>
      <c r="K39" s="539" t="s">
        <v>499</v>
      </c>
      <c r="L39" s="536"/>
    </row>
    <row r="40" spans="1:12">
      <c r="A40" s="539" t="s">
        <v>500</v>
      </c>
      <c r="B40" s="539" t="s">
        <v>377</v>
      </c>
      <c r="C40" s="539" t="s">
        <v>497</v>
      </c>
      <c r="D40" s="539" t="s">
        <v>379</v>
      </c>
      <c r="E40" s="539">
        <v>3</v>
      </c>
      <c r="F40" s="540" t="s">
        <v>498</v>
      </c>
      <c r="G40" s="536"/>
      <c r="H40" s="536"/>
      <c r="I40" s="536"/>
      <c r="J40" s="539" t="s">
        <v>501</v>
      </c>
      <c r="K40" s="539" t="s">
        <v>501</v>
      </c>
      <c r="L40" s="536"/>
    </row>
    <row r="41" spans="1:12" ht="17.25" customHeight="1">
      <c r="A41" s="539" t="s">
        <v>502</v>
      </c>
      <c r="B41" s="539" t="s">
        <v>377</v>
      </c>
      <c r="C41" s="539" t="s">
        <v>503</v>
      </c>
      <c r="D41" s="539" t="s">
        <v>379</v>
      </c>
      <c r="E41" s="539">
        <v>4</v>
      </c>
      <c r="F41" s="540" t="s">
        <v>380</v>
      </c>
      <c r="G41" s="536"/>
      <c r="H41" s="536"/>
      <c r="I41" s="536"/>
      <c r="J41" s="539" t="s">
        <v>504</v>
      </c>
      <c r="K41" s="539" t="s">
        <v>504</v>
      </c>
      <c r="L41" s="536"/>
    </row>
    <row r="42" spans="1:12" ht="17.25" customHeight="1">
      <c r="A42" s="539" t="s">
        <v>505</v>
      </c>
      <c r="B42" s="539" t="s">
        <v>377</v>
      </c>
      <c r="C42" s="539" t="s">
        <v>503</v>
      </c>
      <c r="D42" s="539" t="s">
        <v>379</v>
      </c>
      <c r="E42" s="539">
        <v>4</v>
      </c>
      <c r="F42" s="540" t="s">
        <v>380</v>
      </c>
      <c r="G42" s="536"/>
      <c r="H42" s="536"/>
      <c r="I42" s="536"/>
      <c r="J42" s="539" t="s">
        <v>506</v>
      </c>
      <c r="K42" s="539" t="s">
        <v>506</v>
      </c>
      <c r="L42" s="536"/>
    </row>
    <row r="43" spans="1:12" ht="17.25" customHeight="1">
      <c r="A43" s="539" t="s">
        <v>507</v>
      </c>
      <c r="B43" s="539" t="s">
        <v>377</v>
      </c>
      <c r="C43" s="539" t="s">
        <v>503</v>
      </c>
      <c r="D43" s="539" t="s">
        <v>384</v>
      </c>
      <c r="E43" s="539">
        <v>4</v>
      </c>
      <c r="F43" s="540" t="s">
        <v>391</v>
      </c>
      <c r="G43" s="536"/>
      <c r="H43" s="536"/>
      <c r="I43" s="536"/>
      <c r="J43" s="539" t="s">
        <v>508</v>
      </c>
      <c r="K43" s="539" t="s">
        <v>508</v>
      </c>
      <c r="L43" s="536"/>
    </row>
    <row r="44" spans="1:12" ht="17.25" customHeight="1">
      <c r="A44" s="539" t="s">
        <v>509</v>
      </c>
      <c r="B44" s="539" t="s">
        <v>377</v>
      </c>
      <c r="C44" s="539" t="s">
        <v>503</v>
      </c>
      <c r="D44" s="539" t="s">
        <v>384</v>
      </c>
      <c r="E44" s="539">
        <v>4</v>
      </c>
      <c r="F44" s="540" t="s">
        <v>391</v>
      </c>
      <c r="G44" s="536"/>
      <c r="H44" s="536"/>
      <c r="I44" s="536"/>
      <c r="J44" s="539" t="s">
        <v>510</v>
      </c>
      <c r="K44" s="539" t="s">
        <v>510</v>
      </c>
      <c r="L44" s="536"/>
    </row>
    <row r="45" spans="1:12" ht="17.25" customHeight="1">
      <c r="A45" s="539" t="s">
        <v>511</v>
      </c>
      <c r="B45" s="539" t="s">
        <v>377</v>
      </c>
      <c r="C45" s="539" t="s">
        <v>503</v>
      </c>
      <c r="D45" s="539" t="s">
        <v>384</v>
      </c>
      <c r="E45" s="539">
        <v>4</v>
      </c>
      <c r="F45" s="540" t="s">
        <v>391</v>
      </c>
      <c r="G45" s="536"/>
      <c r="H45" s="536"/>
      <c r="I45" s="536"/>
      <c r="J45" s="539" t="s">
        <v>512</v>
      </c>
      <c r="K45" s="539" t="s">
        <v>512</v>
      </c>
      <c r="L45" s="536"/>
    </row>
    <row r="46" spans="1:12" ht="17.25" customHeight="1">
      <c r="A46" s="539" t="s">
        <v>513</v>
      </c>
      <c r="B46" s="539" t="s">
        <v>377</v>
      </c>
      <c r="C46" s="539" t="s">
        <v>503</v>
      </c>
      <c r="D46" s="539" t="s">
        <v>384</v>
      </c>
      <c r="E46" s="539">
        <v>4</v>
      </c>
      <c r="F46" s="540" t="s">
        <v>391</v>
      </c>
      <c r="G46" s="536"/>
      <c r="H46" s="536"/>
      <c r="I46" s="536"/>
      <c r="J46" s="539" t="s">
        <v>514</v>
      </c>
      <c r="K46" s="539" t="s">
        <v>514</v>
      </c>
      <c r="L46" s="536"/>
    </row>
    <row r="47" spans="1:12">
      <c r="A47" s="539" t="s">
        <v>515</v>
      </c>
      <c r="B47" s="539" t="s">
        <v>377</v>
      </c>
      <c r="C47" s="539" t="s">
        <v>503</v>
      </c>
      <c r="D47" s="539" t="s">
        <v>405</v>
      </c>
      <c r="E47" s="539">
        <v>4</v>
      </c>
      <c r="F47" s="540" t="s">
        <v>391</v>
      </c>
      <c r="G47" s="536"/>
      <c r="H47" s="536"/>
      <c r="I47" s="536"/>
      <c r="J47" s="539" t="s">
        <v>516</v>
      </c>
      <c r="K47" s="539" t="s">
        <v>516</v>
      </c>
      <c r="L47" s="536"/>
    </row>
    <row r="48" spans="1:12">
      <c r="A48" s="539" t="s">
        <v>517</v>
      </c>
      <c r="B48" s="539" t="s">
        <v>377</v>
      </c>
      <c r="C48" s="539" t="s">
        <v>503</v>
      </c>
      <c r="D48" s="539" t="s">
        <v>405</v>
      </c>
      <c r="E48" s="539">
        <v>4</v>
      </c>
      <c r="F48" s="540" t="s">
        <v>391</v>
      </c>
      <c r="G48" s="536"/>
      <c r="H48" s="536"/>
      <c r="I48" s="536"/>
      <c r="J48" s="539" t="s">
        <v>518</v>
      </c>
      <c r="K48" s="539" t="s">
        <v>518</v>
      </c>
      <c r="L48" s="536"/>
    </row>
    <row r="49" spans="1:12">
      <c r="A49" s="539" t="s">
        <v>519</v>
      </c>
      <c r="B49" s="539" t="s">
        <v>377</v>
      </c>
      <c r="C49" s="539" t="s">
        <v>503</v>
      </c>
      <c r="D49" s="539" t="s">
        <v>405</v>
      </c>
      <c r="E49" s="539">
        <v>4</v>
      </c>
      <c r="F49" s="540" t="s">
        <v>391</v>
      </c>
      <c r="G49" s="536"/>
      <c r="H49" s="536"/>
      <c r="I49" s="536"/>
      <c r="J49" s="536" t="s">
        <v>520</v>
      </c>
      <c r="K49" s="536" t="s">
        <v>520</v>
      </c>
      <c r="L49" s="536"/>
    </row>
    <row r="50" spans="1:12">
      <c r="A50" s="539" t="s">
        <v>521</v>
      </c>
      <c r="B50" s="539" t="s">
        <v>377</v>
      </c>
      <c r="C50" s="539" t="s">
        <v>503</v>
      </c>
      <c r="D50" s="539" t="s">
        <v>405</v>
      </c>
      <c r="E50" s="539">
        <v>4</v>
      </c>
      <c r="F50" s="540" t="s">
        <v>391</v>
      </c>
      <c r="G50" s="536"/>
      <c r="H50" s="536"/>
      <c r="I50" s="536"/>
      <c r="J50" s="536" t="s">
        <v>522</v>
      </c>
      <c r="K50" s="536" t="s">
        <v>522</v>
      </c>
      <c r="L50" s="536"/>
    </row>
    <row r="51" spans="1:12">
      <c r="A51" s="539" t="s">
        <v>523</v>
      </c>
      <c r="B51" s="539" t="s">
        <v>377</v>
      </c>
      <c r="C51" s="539" t="s">
        <v>503</v>
      </c>
      <c r="D51" s="539" t="s">
        <v>405</v>
      </c>
      <c r="E51" s="539">
        <v>4</v>
      </c>
      <c r="F51" s="540" t="s">
        <v>391</v>
      </c>
      <c r="G51" s="536"/>
      <c r="H51" s="536"/>
      <c r="I51" s="536"/>
      <c r="J51" s="536" t="s">
        <v>524</v>
      </c>
      <c r="K51" s="536" t="s">
        <v>524</v>
      </c>
      <c r="L51" s="536"/>
    </row>
    <row r="52" spans="1:12">
      <c r="A52" s="539" t="s">
        <v>525</v>
      </c>
      <c r="B52" s="539" t="s">
        <v>377</v>
      </c>
      <c r="C52" s="539" t="s">
        <v>503</v>
      </c>
      <c r="D52" s="539" t="s">
        <v>405</v>
      </c>
      <c r="E52" s="539">
        <v>4</v>
      </c>
      <c r="F52" s="540" t="s">
        <v>391</v>
      </c>
      <c r="G52" s="536"/>
      <c r="H52" s="536"/>
      <c r="I52" s="536"/>
      <c r="J52" s="536" t="s">
        <v>526</v>
      </c>
      <c r="K52" s="536" t="s">
        <v>526</v>
      </c>
      <c r="L52" s="536"/>
    </row>
    <row r="53" spans="1:12">
      <c r="A53" s="539" t="s">
        <v>527</v>
      </c>
      <c r="B53" s="539" t="s">
        <v>377</v>
      </c>
      <c r="C53" s="539" t="s">
        <v>503</v>
      </c>
      <c r="D53" s="539" t="s">
        <v>405</v>
      </c>
      <c r="E53" s="539">
        <v>4</v>
      </c>
      <c r="F53" s="540" t="s">
        <v>391</v>
      </c>
      <c r="G53" s="536"/>
      <c r="H53" s="536"/>
      <c r="I53" s="536"/>
      <c r="J53" s="536" t="s">
        <v>528</v>
      </c>
      <c r="K53" s="536" t="s">
        <v>528</v>
      </c>
      <c r="L53" s="536"/>
    </row>
    <row r="54" spans="1:12">
      <c r="A54" s="539" t="s">
        <v>529</v>
      </c>
      <c r="B54" s="539" t="s">
        <v>377</v>
      </c>
      <c r="C54" s="539" t="s">
        <v>503</v>
      </c>
      <c r="D54" s="539" t="s">
        <v>405</v>
      </c>
      <c r="E54" s="539">
        <v>4</v>
      </c>
      <c r="F54" s="540" t="s">
        <v>391</v>
      </c>
      <c r="G54" s="536"/>
      <c r="H54" s="536"/>
      <c r="I54" s="536"/>
      <c r="J54" s="536" t="s">
        <v>530</v>
      </c>
      <c r="K54" s="536" t="s">
        <v>530</v>
      </c>
      <c r="L54" s="536"/>
    </row>
    <row r="55" spans="1:12">
      <c r="A55" s="539" t="s">
        <v>531</v>
      </c>
      <c r="B55" s="539" t="s">
        <v>377</v>
      </c>
      <c r="C55" s="539" t="s">
        <v>503</v>
      </c>
      <c r="D55" s="539" t="s">
        <v>405</v>
      </c>
      <c r="E55" s="539">
        <v>4</v>
      </c>
      <c r="F55" s="540" t="s">
        <v>391</v>
      </c>
      <c r="G55" s="536"/>
      <c r="H55" s="536"/>
      <c r="I55" s="536"/>
      <c r="J55" s="536" t="s">
        <v>532</v>
      </c>
      <c r="K55" s="536" t="s">
        <v>532</v>
      </c>
      <c r="L55" s="536"/>
    </row>
    <row r="56" spans="1:12">
      <c r="A56" s="539" t="s">
        <v>533</v>
      </c>
      <c r="B56" s="539" t="s">
        <v>377</v>
      </c>
      <c r="C56" s="539" t="s">
        <v>503</v>
      </c>
      <c r="D56" s="539" t="s">
        <v>418</v>
      </c>
      <c r="E56" s="539">
        <v>4</v>
      </c>
      <c r="F56" s="540" t="s">
        <v>391</v>
      </c>
      <c r="G56" s="536"/>
      <c r="H56" s="536"/>
      <c r="I56" s="536"/>
      <c r="J56" s="536" t="s">
        <v>534</v>
      </c>
      <c r="K56" s="536" t="s">
        <v>534</v>
      </c>
      <c r="L56" s="536"/>
    </row>
    <row r="57" spans="1:12">
      <c r="A57" s="539" t="s">
        <v>535</v>
      </c>
      <c r="B57" s="539" t="s">
        <v>377</v>
      </c>
      <c r="C57" s="539" t="s">
        <v>503</v>
      </c>
      <c r="D57" s="539" t="s">
        <v>418</v>
      </c>
      <c r="E57" s="539">
        <v>4</v>
      </c>
      <c r="F57" s="540" t="s">
        <v>391</v>
      </c>
      <c r="G57" s="536"/>
      <c r="H57" s="536"/>
      <c r="I57" s="536"/>
      <c r="J57" s="536" t="s">
        <v>536</v>
      </c>
      <c r="K57" s="536" t="s">
        <v>536</v>
      </c>
      <c r="L57" s="536"/>
    </row>
    <row r="58" spans="1:12">
      <c r="A58" s="539" t="s">
        <v>537</v>
      </c>
      <c r="B58" s="539" t="s">
        <v>377</v>
      </c>
      <c r="C58" s="539" t="s">
        <v>503</v>
      </c>
      <c r="D58" s="539" t="s">
        <v>418</v>
      </c>
      <c r="E58" s="539">
        <v>4</v>
      </c>
      <c r="F58" s="540" t="s">
        <v>391</v>
      </c>
      <c r="G58" s="536"/>
      <c r="H58" s="536"/>
      <c r="I58" s="536"/>
      <c r="J58" s="536" t="s">
        <v>538</v>
      </c>
      <c r="K58" s="536" t="s">
        <v>538</v>
      </c>
      <c r="L58" s="536"/>
    </row>
    <row r="59" spans="1:12">
      <c r="A59" s="539" t="s">
        <v>539</v>
      </c>
      <c r="B59" s="539" t="s">
        <v>377</v>
      </c>
      <c r="C59" s="539" t="s">
        <v>503</v>
      </c>
      <c r="D59" s="539" t="s">
        <v>418</v>
      </c>
      <c r="E59" s="539">
        <v>4</v>
      </c>
      <c r="F59" s="540" t="s">
        <v>391</v>
      </c>
      <c r="G59" s="536"/>
      <c r="H59" s="536"/>
      <c r="I59" s="536"/>
      <c r="J59" s="536" t="s">
        <v>540</v>
      </c>
      <c r="K59" s="536" t="s">
        <v>540</v>
      </c>
      <c r="L59" s="536"/>
    </row>
    <row r="60" spans="1:12">
      <c r="A60" s="539" t="s">
        <v>541</v>
      </c>
      <c r="B60" s="539" t="s">
        <v>377</v>
      </c>
      <c r="C60" s="539" t="s">
        <v>503</v>
      </c>
      <c r="D60" s="539" t="s">
        <v>418</v>
      </c>
      <c r="E60" s="539">
        <v>4</v>
      </c>
      <c r="F60" s="540" t="s">
        <v>391</v>
      </c>
      <c r="G60" s="536"/>
      <c r="H60" s="536"/>
      <c r="I60" s="536"/>
      <c r="J60" s="539"/>
      <c r="K60" s="539"/>
      <c r="L60" s="536"/>
    </row>
    <row r="61" spans="1:12">
      <c r="A61" s="539" t="s">
        <v>542</v>
      </c>
      <c r="B61" s="539" t="s">
        <v>377</v>
      </c>
      <c r="C61" s="539" t="s">
        <v>503</v>
      </c>
      <c r="D61" s="539" t="s">
        <v>418</v>
      </c>
      <c r="E61" s="539">
        <v>4</v>
      </c>
      <c r="F61" s="540" t="s">
        <v>391</v>
      </c>
      <c r="G61" s="536"/>
      <c r="H61" s="536"/>
      <c r="I61" s="536"/>
      <c r="J61" s="539"/>
      <c r="K61" s="539"/>
      <c r="L61" s="536"/>
    </row>
    <row r="62" spans="1:12">
      <c r="A62" s="539" t="s">
        <v>543</v>
      </c>
      <c r="B62" s="539" t="s">
        <v>377</v>
      </c>
      <c r="C62" s="539" t="s">
        <v>544</v>
      </c>
      <c r="D62" s="539" t="s">
        <v>379</v>
      </c>
      <c r="E62" s="539">
        <v>4</v>
      </c>
      <c r="F62" s="540" t="s">
        <v>380</v>
      </c>
      <c r="G62" s="536"/>
      <c r="H62" s="536"/>
      <c r="I62" s="536"/>
      <c r="L62" s="536"/>
    </row>
    <row r="63" spans="1:12">
      <c r="A63" s="539" t="s">
        <v>545</v>
      </c>
      <c r="B63" s="539" t="s">
        <v>377</v>
      </c>
      <c r="C63" s="539" t="s">
        <v>544</v>
      </c>
      <c r="D63" s="539" t="s">
        <v>379</v>
      </c>
      <c r="E63" s="539">
        <v>4</v>
      </c>
      <c r="F63" s="540" t="s">
        <v>380</v>
      </c>
      <c r="G63" s="536"/>
      <c r="H63" s="536"/>
      <c r="I63" s="536"/>
      <c r="J63" s="539"/>
      <c r="K63" s="539"/>
      <c r="L63" s="536"/>
    </row>
    <row r="64" spans="1:12">
      <c r="A64" s="539" t="s">
        <v>546</v>
      </c>
      <c r="B64" s="539" t="s">
        <v>377</v>
      </c>
      <c r="C64" s="539" t="s">
        <v>544</v>
      </c>
      <c r="D64" s="539" t="s">
        <v>379</v>
      </c>
      <c r="E64" s="539">
        <v>4</v>
      </c>
      <c r="F64" s="540" t="s">
        <v>380</v>
      </c>
      <c r="G64" s="536"/>
      <c r="H64" s="536"/>
      <c r="I64" s="536"/>
      <c r="L64" s="536"/>
    </row>
    <row r="65" spans="1:12">
      <c r="A65" s="539" t="s">
        <v>547</v>
      </c>
      <c r="B65" s="539" t="s">
        <v>377</v>
      </c>
      <c r="C65" s="539" t="s">
        <v>544</v>
      </c>
      <c r="D65" s="539" t="s">
        <v>379</v>
      </c>
      <c r="E65" s="539">
        <v>4</v>
      </c>
      <c r="F65" s="540" t="s">
        <v>380</v>
      </c>
      <c r="G65" s="536"/>
      <c r="H65" s="536"/>
      <c r="I65" s="536"/>
      <c r="J65" s="539"/>
      <c r="K65" s="539"/>
      <c r="L65" s="536"/>
    </row>
    <row r="66" spans="1:12">
      <c r="A66" s="539" t="s">
        <v>548</v>
      </c>
      <c r="B66" s="539" t="s">
        <v>377</v>
      </c>
      <c r="C66" s="539" t="s">
        <v>544</v>
      </c>
      <c r="D66" s="539" t="s">
        <v>384</v>
      </c>
      <c r="E66" s="539">
        <v>4</v>
      </c>
      <c r="F66" s="540" t="s">
        <v>391</v>
      </c>
      <c r="G66" s="536"/>
      <c r="H66" s="536"/>
      <c r="I66" s="536"/>
      <c r="J66" s="539"/>
      <c r="K66" s="539"/>
      <c r="L66" s="536"/>
    </row>
    <row r="67" spans="1:12">
      <c r="A67" s="539" t="s">
        <v>549</v>
      </c>
      <c r="B67" s="539" t="s">
        <v>377</v>
      </c>
      <c r="C67" s="539" t="s">
        <v>544</v>
      </c>
      <c r="D67" s="539" t="s">
        <v>384</v>
      </c>
      <c r="E67" s="539">
        <v>4</v>
      </c>
      <c r="F67" s="540" t="s">
        <v>391</v>
      </c>
      <c r="G67" s="536"/>
      <c r="H67" s="536"/>
      <c r="I67" s="536"/>
      <c r="J67" s="539"/>
      <c r="K67" s="539"/>
      <c r="L67" s="536"/>
    </row>
    <row r="68" spans="1:12">
      <c r="A68" s="539" t="s">
        <v>550</v>
      </c>
      <c r="B68" s="539" t="s">
        <v>377</v>
      </c>
      <c r="C68" s="539" t="s">
        <v>544</v>
      </c>
      <c r="D68" s="539" t="s">
        <v>384</v>
      </c>
      <c r="E68" s="539">
        <v>4</v>
      </c>
      <c r="F68" s="540" t="s">
        <v>391</v>
      </c>
      <c r="G68" s="536"/>
      <c r="H68" s="536"/>
      <c r="I68" s="536"/>
      <c r="J68" s="539"/>
      <c r="K68" s="539"/>
      <c r="L68" s="536"/>
    </row>
    <row r="69" spans="1:12">
      <c r="A69" s="539" t="s">
        <v>551</v>
      </c>
      <c r="B69" s="539" t="s">
        <v>377</v>
      </c>
      <c r="C69" s="539" t="s">
        <v>544</v>
      </c>
      <c r="D69" s="539" t="s">
        <v>384</v>
      </c>
      <c r="E69" s="539">
        <v>4</v>
      </c>
      <c r="F69" s="540" t="s">
        <v>391</v>
      </c>
      <c r="G69" s="536"/>
      <c r="H69" s="536"/>
      <c r="I69" s="536"/>
      <c r="L69" s="536"/>
    </row>
    <row r="70" spans="1:12">
      <c r="A70" s="539" t="s">
        <v>552</v>
      </c>
      <c r="B70" s="539" t="s">
        <v>377</v>
      </c>
      <c r="C70" s="539" t="s">
        <v>544</v>
      </c>
      <c r="D70" s="539" t="s">
        <v>405</v>
      </c>
      <c r="E70" s="539">
        <v>4</v>
      </c>
      <c r="F70" s="540" t="s">
        <v>391</v>
      </c>
      <c r="G70" s="536"/>
      <c r="H70" s="536"/>
      <c r="I70" s="536"/>
      <c r="L70" s="536"/>
    </row>
    <row r="71" spans="1:12">
      <c r="A71" s="539" t="s">
        <v>553</v>
      </c>
      <c r="B71" s="539" t="s">
        <v>377</v>
      </c>
      <c r="C71" s="539" t="s">
        <v>544</v>
      </c>
      <c r="D71" s="539" t="s">
        <v>405</v>
      </c>
      <c r="E71" s="539">
        <v>4</v>
      </c>
      <c r="F71" s="540" t="s">
        <v>391</v>
      </c>
      <c r="G71" s="536"/>
      <c r="H71" s="536"/>
      <c r="I71" s="536"/>
      <c r="L71" s="536"/>
    </row>
    <row r="72" spans="1:12">
      <c r="A72" s="539" t="s">
        <v>554</v>
      </c>
      <c r="B72" s="539" t="s">
        <v>377</v>
      </c>
      <c r="C72" s="539" t="s">
        <v>544</v>
      </c>
      <c r="D72" s="539" t="s">
        <v>405</v>
      </c>
      <c r="E72" s="539">
        <v>4</v>
      </c>
      <c r="F72" s="540" t="s">
        <v>391</v>
      </c>
      <c r="G72" s="536"/>
      <c r="H72" s="536"/>
      <c r="I72" s="536"/>
      <c r="L72" s="536"/>
    </row>
    <row r="73" spans="1:12">
      <c r="A73" s="539" t="s">
        <v>555</v>
      </c>
      <c r="B73" s="539" t="s">
        <v>377</v>
      </c>
      <c r="C73" s="539" t="s">
        <v>544</v>
      </c>
      <c r="D73" s="539" t="s">
        <v>405</v>
      </c>
      <c r="E73" s="539">
        <v>4</v>
      </c>
      <c r="F73" s="540" t="s">
        <v>391</v>
      </c>
      <c r="G73" s="536"/>
      <c r="H73" s="536"/>
      <c r="I73" s="536"/>
      <c r="L73" s="536"/>
    </row>
    <row r="74" spans="1:12">
      <c r="A74" s="539" t="s">
        <v>556</v>
      </c>
      <c r="B74" s="539" t="s">
        <v>377</v>
      </c>
      <c r="C74" s="539" t="s">
        <v>544</v>
      </c>
      <c r="D74" s="539" t="s">
        <v>405</v>
      </c>
      <c r="E74" s="539">
        <v>4</v>
      </c>
      <c r="F74" s="540" t="s">
        <v>391</v>
      </c>
      <c r="G74" s="536"/>
      <c r="H74" s="536"/>
      <c r="I74" s="536"/>
      <c r="L74" s="536"/>
    </row>
    <row r="75" spans="1:12">
      <c r="A75" s="539" t="s">
        <v>557</v>
      </c>
      <c r="B75" s="539" t="s">
        <v>377</v>
      </c>
      <c r="C75" s="539" t="s">
        <v>544</v>
      </c>
      <c r="D75" s="539" t="s">
        <v>405</v>
      </c>
      <c r="E75" s="539">
        <v>4</v>
      </c>
      <c r="F75" s="540" t="s">
        <v>391</v>
      </c>
      <c r="G75" s="536"/>
      <c r="H75" s="536"/>
      <c r="I75" s="536"/>
      <c r="L75" s="536"/>
    </row>
    <row r="76" spans="1:12">
      <c r="A76" s="539" t="s">
        <v>558</v>
      </c>
      <c r="B76" s="539" t="s">
        <v>377</v>
      </c>
      <c r="C76" s="539" t="s">
        <v>544</v>
      </c>
      <c r="D76" s="539" t="s">
        <v>405</v>
      </c>
      <c r="E76" s="539">
        <v>4</v>
      </c>
      <c r="F76" s="540" t="s">
        <v>391</v>
      </c>
      <c r="G76" s="536"/>
      <c r="H76" s="536"/>
      <c r="I76" s="536"/>
      <c r="L76" s="536"/>
    </row>
    <row r="77" spans="1:12">
      <c r="A77" s="539" t="s">
        <v>559</v>
      </c>
      <c r="B77" s="539" t="s">
        <v>377</v>
      </c>
      <c r="C77" s="539" t="s">
        <v>544</v>
      </c>
      <c r="D77" s="539" t="s">
        <v>405</v>
      </c>
      <c r="E77" s="539">
        <v>4</v>
      </c>
      <c r="F77" s="540" t="s">
        <v>391</v>
      </c>
      <c r="G77" s="536"/>
      <c r="H77" s="536"/>
      <c r="I77" s="536"/>
      <c r="L77" s="536"/>
    </row>
    <row r="78" spans="1:12">
      <c r="A78" s="539" t="s">
        <v>560</v>
      </c>
      <c r="B78" s="539" t="s">
        <v>377</v>
      </c>
      <c r="C78" s="539" t="s">
        <v>544</v>
      </c>
      <c r="D78" s="539" t="s">
        <v>418</v>
      </c>
      <c r="E78" s="539">
        <v>4</v>
      </c>
      <c r="F78" s="540" t="s">
        <v>391</v>
      </c>
      <c r="G78" s="536"/>
      <c r="H78" s="536"/>
      <c r="I78" s="536"/>
      <c r="L78" s="536"/>
    </row>
    <row r="79" spans="1:12">
      <c r="A79" s="539" t="s">
        <v>561</v>
      </c>
      <c r="B79" s="539" t="s">
        <v>377</v>
      </c>
      <c r="C79" s="539" t="s">
        <v>544</v>
      </c>
      <c r="D79" s="539" t="s">
        <v>418</v>
      </c>
      <c r="E79" s="539">
        <v>4</v>
      </c>
      <c r="F79" s="540" t="s">
        <v>391</v>
      </c>
      <c r="G79" s="536"/>
      <c r="H79" s="536"/>
      <c r="I79" s="536"/>
      <c r="L79" s="536"/>
    </row>
    <row r="80" spans="1:12">
      <c r="A80" s="539" t="s">
        <v>562</v>
      </c>
      <c r="B80" s="539" t="s">
        <v>377</v>
      </c>
      <c r="C80" s="539" t="s">
        <v>544</v>
      </c>
      <c r="D80" s="539" t="s">
        <v>418</v>
      </c>
      <c r="E80" s="539">
        <v>4</v>
      </c>
      <c r="F80" s="540" t="s">
        <v>391</v>
      </c>
      <c r="G80" s="536"/>
      <c r="H80" s="536"/>
      <c r="I80" s="536"/>
      <c r="L80" s="536"/>
    </row>
    <row r="81" spans="1:12">
      <c r="A81" s="539" t="s">
        <v>563</v>
      </c>
      <c r="B81" s="539" t="s">
        <v>377</v>
      </c>
      <c r="C81" s="539" t="s">
        <v>564</v>
      </c>
      <c r="D81" s="539" t="s">
        <v>384</v>
      </c>
      <c r="E81" s="539">
        <v>3</v>
      </c>
      <c r="F81" s="540" t="s">
        <v>565</v>
      </c>
      <c r="G81" s="536"/>
      <c r="H81" s="536"/>
      <c r="I81" s="536"/>
      <c r="L81" s="536"/>
    </row>
    <row r="82" spans="1:12">
      <c r="A82" s="539" t="s">
        <v>566</v>
      </c>
      <c r="B82" s="539" t="s">
        <v>377</v>
      </c>
      <c r="C82" s="539" t="s">
        <v>564</v>
      </c>
      <c r="D82" s="539" t="s">
        <v>384</v>
      </c>
      <c r="E82" s="539">
        <v>3</v>
      </c>
      <c r="F82" s="540" t="s">
        <v>565</v>
      </c>
      <c r="G82" s="536"/>
      <c r="H82" s="536"/>
      <c r="I82" s="536"/>
      <c r="L82" s="536"/>
    </row>
    <row r="83" spans="1:12">
      <c r="A83" s="539" t="s">
        <v>567</v>
      </c>
      <c r="B83" s="539" t="s">
        <v>377</v>
      </c>
      <c r="C83" s="539" t="s">
        <v>564</v>
      </c>
      <c r="D83" s="539" t="s">
        <v>405</v>
      </c>
      <c r="E83" s="539">
        <v>3</v>
      </c>
      <c r="F83" s="540" t="s">
        <v>565</v>
      </c>
      <c r="G83" s="536"/>
      <c r="H83" s="536"/>
      <c r="I83" s="536"/>
      <c r="L83" s="536"/>
    </row>
    <row r="84" spans="1:12">
      <c r="A84" s="539" t="s">
        <v>568</v>
      </c>
      <c r="B84" s="539" t="s">
        <v>377</v>
      </c>
      <c r="C84" s="539" t="s">
        <v>564</v>
      </c>
      <c r="D84" s="539" t="s">
        <v>405</v>
      </c>
      <c r="E84" s="539">
        <v>3</v>
      </c>
      <c r="F84" s="540" t="s">
        <v>565</v>
      </c>
      <c r="G84" s="536"/>
      <c r="H84" s="536"/>
      <c r="I84" s="536"/>
      <c r="L84" s="536"/>
    </row>
    <row r="85" spans="1:12">
      <c r="A85" s="539" t="s">
        <v>569</v>
      </c>
      <c r="B85" s="539" t="s">
        <v>377</v>
      </c>
      <c r="C85" s="539" t="s">
        <v>564</v>
      </c>
      <c r="D85" s="539" t="s">
        <v>405</v>
      </c>
      <c r="E85" s="539">
        <v>2</v>
      </c>
      <c r="F85" s="540" t="s">
        <v>570</v>
      </c>
      <c r="G85" s="536"/>
      <c r="H85" s="536"/>
      <c r="I85" s="536"/>
      <c r="J85" s="536"/>
      <c r="K85" s="536"/>
      <c r="L85" s="536"/>
    </row>
    <row r="86" spans="1:12">
      <c r="A86" s="539" t="s">
        <v>571</v>
      </c>
      <c r="B86" s="539" t="s">
        <v>377</v>
      </c>
      <c r="C86" s="539" t="s">
        <v>564</v>
      </c>
      <c r="D86" s="539" t="s">
        <v>418</v>
      </c>
      <c r="E86" s="539">
        <v>3</v>
      </c>
      <c r="F86" s="540" t="s">
        <v>565</v>
      </c>
      <c r="G86" s="536"/>
      <c r="H86" s="536"/>
      <c r="I86" s="536"/>
      <c r="J86" s="536"/>
      <c r="K86" s="536"/>
      <c r="L86" s="536"/>
    </row>
    <row r="87" spans="1:12">
      <c r="A87" s="539" t="s">
        <v>572</v>
      </c>
      <c r="B87" s="539" t="s">
        <v>377</v>
      </c>
      <c r="C87" s="539" t="s">
        <v>564</v>
      </c>
      <c r="D87" s="539" t="s">
        <v>418</v>
      </c>
      <c r="E87" s="539">
        <v>2</v>
      </c>
      <c r="F87" s="540" t="s">
        <v>570</v>
      </c>
      <c r="G87" s="536"/>
      <c r="H87" s="536"/>
      <c r="I87" s="536"/>
      <c r="J87" s="536"/>
      <c r="K87" s="536"/>
      <c r="L87" s="536"/>
    </row>
    <row r="88" spans="1:12" ht="17.25" customHeight="1">
      <c r="A88" s="539" t="s">
        <v>573</v>
      </c>
      <c r="B88" s="539" t="s">
        <v>377</v>
      </c>
      <c r="C88" s="539" t="s">
        <v>574</v>
      </c>
      <c r="D88" s="539" t="s">
        <v>384</v>
      </c>
      <c r="E88" s="539">
        <v>3</v>
      </c>
      <c r="F88" s="540" t="s">
        <v>565</v>
      </c>
      <c r="G88" s="536"/>
      <c r="H88" s="536"/>
      <c r="I88" s="536"/>
      <c r="J88" s="536"/>
      <c r="K88" s="536"/>
      <c r="L88" s="536"/>
    </row>
    <row r="89" spans="1:12">
      <c r="A89" s="539" t="s">
        <v>575</v>
      </c>
      <c r="B89" s="539" t="s">
        <v>377</v>
      </c>
      <c r="C89" s="539" t="s">
        <v>574</v>
      </c>
      <c r="D89" s="539" t="s">
        <v>384</v>
      </c>
      <c r="E89" s="539">
        <v>3</v>
      </c>
      <c r="F89" s="540" t="s">
        <v>565</v>
      </c>
      <c r="G89" s="536"/>
      <c r="H89" s="536"/>
      <c r="I89" s="536"/>
      <c r="J89" s="536"/>
      <c r="K89" s="536"/>
      <c r="L89" s="536"/>
    </row>
    <row r="90" spans="1:12">
      <c r="A90" s="539" t="s">
        <v>576</v>
      </c>
      <c r="B90" s="539" t="s">
        <v>377</v>
      </c>
      <c r="C90" s="539" t="s">
        <v>574</v>
      </c>
      <c r="D90" s="539" t="s">
        <v>384</v>
      </c>
      <c r="E90" s="539">
        <v>3</v>
      </c>
      <c r="F90" s="540" t="s">
        <v>565</v>
      </c>
      <c r="G90" s="536"/>
      <c r="H90" s="536"/>
      <c r="I90" s="536"/>
      <c r="J90" s="536"/>
      <c r="K90" s="536"/>
      <c r="L90" s="536"/>
    </row>
    <row r="91" spans="1:12">
      <c r="A91" s="539" t="s">
        <v>577</v>
      </c>
      <c r="B91" s="539" t="s">
        <v>377</v>
      </c>
      <c r="C91" s="539" t="s">
        <v>574</v>
      </c>
      <c r="D91" s="539" t="s">
        <v>405</v>
      </c>
      <c r="E91" s="539">
        <v>3</v>
      </c>
      <c r="F91" s="540" t="s">
        <v>565</v>
      </c>
      <c r="G91" s="536"/>
      <c r="H91" s="536"/>
      <c r="I91" s="536"/>
      <c r="J91" s="536"/>
      <c r="K91" s="536"/>
      <c r="L91" s="536"/>
    </row>
    <row r="92" spans="1:12">
      <c r="A92" s="539" t="s">
        <v>578</v>
      </c>
      <c r="B92" s="539" t="s">
        <v>377</v>
      </c>
      <c r="C92" s="539" t="s">
        <v>574</v>
      </c>
      <c r="D92" s="539" t="s">
        <v>405</v>
      </c>
      <c r="E92" s="539">
        <v>3</v>
      </c>
      <c r="F92" s="540" t="s">
        <v>565</v>
      </c>
      <c r="G92" s="536"/>
      <c r="H92" s="536"/>
      <c r="I92" s="536"/>
      <c r="J92" s="536"/>
      <c r="K92" s="536"/>
      <c r="L92" s="536"/>
    </row>
    <row r="93" spans="1:12">
      <c r="A93" s="539" t="s">
        <v>579</v>
      </c>
      <c r="B93" s="539" t="s">
        <v>377</v>
      </c>
      <c r="C93" s="539" t="s">
        <v>574</v>
      </c>
      <c r="D93" s="539" t="s">
        <v>405</v>
      </c>
      <c r="E93" s="539">
        <v>3</v>
      </c>
      <c r="F93" s="540" t="s">
        <v>565</v>
      </c>
      <c r="G93" s="536"/>
      <c r="H93" s="536"/>
      <c r="I93" s="536"/>
      <c r="J93" s="536"/>
      <c r="K93" s="536"/>
      <c r="L93" s="536"/>
    </row>
    <row r="94" spans="1:12">
      <c r="A94" s="539" t="s">
        <v>580</v>
      </c>
      <c r="B94" s="539" t="s">
        <v>377</v>
      </c>
      <c r="C94" s="539" t="s">
        <v>574</v>
      </c>
      <c r="D94" s="539" t="s">
        <v>405</v>
      </c>
      <c r="E94" s="539">
        <v>3</v>
      </c>
      <c r="F94" s="540" t="s">
        <v>565</v>
      </c>
      <c r="G94" s="536"/>
      <c r="H94" s="536"/>
      <c r="I94" s="536"/>
      <c r="J94" s="536"/>
      <c r="K94" s="536"/>
      <c r="L94" s="536"/>
    </row>
    <row r="95" spans="1:12">
      <c r="A95" s="539" t="s">
        <v>581</v>
      </c>
      <c r="B95" s="539" t="s">
        <v>377</v>
      </c>
      <c r="C95" s="539" t="s">
        <v>574</v>
      </c>
      <c r="D95" s="539" t="s">
        <v>418</v>
      </c>
      <c r="E95" s="539">
        <v>3</v>
      </c>
      <c r="F95" s="540" t="s">
        <v>565</v>
      </c>
      <c r="G95" s="536"/>
      <c r="H95" s="536"/>
      <c r="I95" s="536"/>
      <c r="J95" s="536"/>
      <c r="K95" s="536"/>
      <c r="L95" s="536"/>
    </row>
    <row r="96" spans="1:12">
      <c r="A96" s="539" t="s">
        <v>582</v>
      </c>
      <c r="B96" s="539" t="s">
        <v>377</v>
      </c>
      <c r="C96" s="539" t="s">
        <v>574</v>
      </c>
      <c r="D96" s="539" t="s">
        <v>418</v>
      </c>
      <c r="E96" s="539">
        <v>3</v>
      </c>
      <c r="F96" s="540" t="s">
        <v>565</v>
      </c>
      <c r="G96" s="536"/>
      <c r="H96" s="536"/>
      <c r="I96" s="536"/>
      <c r="J96" s="536"/>
      <c r="K96" s="536"/>
      <c r="L96" s="536"/>
    </row>
    <row r="97" spans="1:12">
      <c r="A97" s="539" t="s">
        <v>583</v>
      </c>
      <c r="B97" s="539" t="s">
        <v>377</v>
      </c>
      <c r="C97" s="539" t="s">
        <v>583</v>
      </c>
      <c r="D97" s="539" t="s">
        <v>384</v>
      </c>
      <c r="E97" s="539">
        <v>4</v>
      </c>
      <c r="F97" s="540" t="s">
        <v>391</v>
      </c>
      <c r="G97" s="536"/>
      <c r="H97" s="536"/>
      <c r="I97" s="536"/>
      <c r="J97" s="536"/>
      <c r="K97" s="536"/>
      <c r="L97" s="536"/>
    </row>
    <row r="98" spans="1:12">
      <c r="A98" s="539" t="s">
        <v>584</v>
      </c>
      <c r="B98" s="539" t="s">
        <v>377</v>
      </c>
      <c r="C98" s="539" t="s">
        <v>583</v>
      </c>
      <c r="D98" s="539" t="s">
        <v>384</v>
      </c>
      <c r="E98" s="539">
        <v>4</v>
      </c>
      <c r="F98" s="540" t="s">
        <v>391</v>
      </c>
      <c r="G98" s="536"/>
      <c r="H98" s="536"/>
      <c r="I98" s="536"/>
      <c r="J98" s="536"/>
      <c r="K98" s="536"/>
      <c r="L98" s="536"/>
    </row>
    <row r="99" spans="1:12">
      <c r="A99" s="539" t="s">
        <v>585</v>
      </c>
      <c r="B99" s="539" t="s">
        <v>377</v>
      </c>
      <c r="C99" s="539" t="s">
        <v>583</v>
      </c>
      <c r="D99" s="539" t="s">
        <v>405</v>
      </c>
      <c r="E99" s="539">
        <v>4</v>
      </c>
      <c r="F99" s="540" t="s">
        <v>391</v>
      </c>
      <c r="G99" s="536"/>
      <c r="H99" s="536"/>
      <c r="I99" s="536"/>
      <c r="J99" s="536"/>
      <c r="K99" s="536"/>
      <c r="L99" s="536"/>
    </row>
    <row r="100" spans="1:12">
      <c r="A100" s="539" t="s">
        <v>586</v>
      </c>
      <c r="B100" s="539" t="s">
        <v>377</v>
      </c>
      <c r="C100" s="539" t="s">
        <v>583</v>
      </c>
      <c r="D100" s="539" t="s">
        <v>405</v>
      </c>
      <c r="E100" s="539">
        <v>4</v>
      </c>
      <c r="F100" s="540" t="s">
        <v>391</v>
      </c>
      <c r="G100" s="536"/>
      <c r="H100" s="536"/>
      <c r="I100" s="536"/>
      <c r="J100" s="536"/>
      <c r="K100" s="536"/>
      <c r="L100" s="536"/>
    </row>
    <row r="101" spans="1:12">
      <c r="A101" s="539" t="s">
        <v>587</v>
      </c>
      <c r="B101" s="539" t="s">
        <v>377</v>
      </c>
      <c r="C101" s="539" t="s">
        <v>583</v>
      </c>
      <c r="D101" s="539" t="s">
        <v>405</v>
      </c>
      <c r="E101" s="539">
        <v>4</v>
      </c>
      <c r="F101" s="540" t="s">
        <v>391</v>
      </c>
      <c r="G101" s="536"/>
      <c r="H101" s="536"/>
      <c r="I101" s="536"/>
      <c r="J101" s="536"/>
      <c r="K101" s="536"/>
      <c r="L101" s="536"/>
    </row>
    <row r="102" spans="1:12">
      <c r="A102" s="539" t="s">
        <v>588</v>
      </c>
      <c r="B102" s="539" t="s">
        <v>377</v>
      </c>
      <c r="C102" s="539" t="s">
        <v>583</v>
      </c>
      <c r="D102" s="539" t="s">
        <v>405</v>
      </c>
      <c r="E102" s="539">
        <v>4</v>
      </c>
      <c r="F102" s="540" t="s">
        <v>391</v>
      </c>
      <c r="G102" s="536"/>
      <c r="H102" s="536"/>
      <c r="I102" s="536"/>
      <c r="J102" s="536"/>
      <c r="K102" s="536"/>
      <c r="L102" s="536"/>
    </row>
    <row r="103" spans="1:12">
      <c r="A103" s="539" t="s">
        <v>589</v>
      </c>
      <c r="B103" s="539" t="s">
        <v>377</v>
      </c>
      <c r="C103" s="539" t="s">
        <v>583</v>
      </c>
      <c r="D103" s="539" t="s">
        <v>418</v>
      </c>
      <c r="E103" s="539">
        <v>4</v>
      </c>
      <c r="F103" s="540" t="s">
        <v>391</v>
      </c>
      <c r="G103" s="536"/>
      <c r="H103" s="536"/>
      <c r="I103" s="536"/>
      <c r="J103" s="536"/>
      <c r="K103" s="536"/>
      <c r="L103" s="536"/>
    </row>
    <row r="104" spans="1:12">
      <c r="A104" s="539" t="s">
        <v>590</v>
      </c>
      <c r="B104" s="539" t="s">
        <v>377</v>
      </c>
      <c r="C104" s="539" t="s">
        <v>583</v>
      </c>
      <c r="D104" s="539" t="s">
        <v>418</v>
      </c>
      <c r="E104" s="539">
        <v>4</v>
      </c>
      <c r="F104" s="540" t="s">
        <v>391</v>
      </c>
      <c r="G104" s="536"/>
      <c r="H104" s="536"/>
      <c r="I104" s="536"/>
      <c r="J104" s="536"/>
      <c r="K104" s="536"/>
      <c r="L104" s="536"/>
    </row>
    <row r="105" spans="1:12">
      <c r="A105" s="539" t="s">
        <v>591</v>
      </c>
      <c r="B105" s="539" t="s">
        <v>377</v>
      </c>
      <c r="C105" s="539" t="s">
        <v>583</v>
      </c>
      <c r="D105" s="539" t="s">
        <v>418</v>
      </c>
      <c r="E105" s="539">
        <v>4</v>
      </c>
      <c r="F105" s="540" t="s">
        <v>391</v>
      </c>
      <c r="G105" s="536"/>
      <c r="H105" s="536"/>
      <c r="I105" s="536"/>
      <c r="J105" s="536"/>
      <c r="K105" s="536"/>
      <c r="L105" s="536"/>
    </row>
    <row r="106" spans="1:12">
      <c r="A106" s="539" t="s">
        <v>592</v>
      </c>
      <c r="B106" s="539" t="s">
        <v>377</v>
      </c>
      <c r="C106" s="539" t="s">
        <v>583</v>
      </c>
      <c r="D106" s="539" t="s">
        <v>418</v>
      </c>
      <c r="E106" s="539">
        <v>2</v>
      </c>
      <c r="F106" s="540" t="s">
        <v>570</v>
      </c>
      <c r="G106" s="536"/>
      <c r="H106" s="536"/>
      <c r="I106" s="536"/>
      <c r="J106" s="536"/>
      <c r="K106" s="536"/>
      <c r="L106" s="536"/>
    </row>
    <row r="107" spans="1:12">
      <c r="A107" s="539" t="s">
        <v>593</v>
      </c>
      <c r="B107" s="539" t="s">
        <v>377</v>
      </c>
      <c r="C107" s="539" t="s">
        <v>583</v>
      </c>
      <c r="D107" s="539" t="s">
        <v>418</v>
      </c>
      <c r="E107" s="539">
        <v>4</v>
      </c>
      <c r="F107" s="540" t="s">
        <v>391</v>
      </c>
      <c r="G107" s="536"/>
      <c r="H107" s="536"/>
      <c r="I107" s="536"/>
      <c r="J107" s="536"/>
      <c r="K107" s="536"/>
      <c r="L107" s="536"/>
    </row>
    <row r="108" spans="1:12">
      <c r="A108" s="539" t="s">
        <v>594</v>
      </c>
      <c r="B108" s="539" t="s">
        <v>377</v>
      </c>
      <c r="C108" s="539" t="s">
        <v>595</v>
      </c>
      <c r="D108" s="539" t="s">
        <v>384</v>
      </c>
      <c r="E108" s="539">
        <v>4</v>
      </c>
      <c r="F108" s="540" t="s">
        <v>391</v>
      </c>
      <c r="G108" s="536"/>
      <c r="H108" s="536"/>
      <c r="I108" s="536"/>
      <c r="J108" s="536"/>
      <c r="K108" s="536"/>
      <c r="L108" s="536"/>
    </row>
    <row r="109" spans="1:12">
      <c r="A109" s="539" t="s">
        <v>596</v>
      </c>
      <c r="B109" s="539" t="s">
        <v>377</v>
      </c>
      <c r="C109" s="539" t="s">
        <v>583</v>
      </c>
      <c r="D109" s="539" t="s">
        <v>384</v>
      </c>
      <c r="E109" s="539">
        <v>4</v>
      </c>
      <c r="F109" s="540" t="s">
        <v>391</v>
      </c>
      <c r="G109" s="536"/>
      <c r="H109" s="536"/>
      <c r="I109" s="536"/>
      <c r="J109" s="536"/>
      <c r="K109" s="536"/>
      <c r="L109" s="536"/>
    </row>
    <row r="110" spans="1:12">
      <c r="A110" s="539" t="s">
        <v>597</v>
      </c>
      <c r="B110" s="539" t="s">
        <v>377</v>
      </c>
      <c r="C110" s="539" t="s">
        <v>583</v>
      </c>
      <c r="D110" s="539" t="s">
        <v>384</v>
      </c>
      <c r="E110" s="539">
        <v>4</v>
      </c>
      <c r="F110" s="540" t="s">
        <v>391</v>
      </c>
      <c r="G110" s="536"/>
      <c r="H110" s="536"/>
      <c r="I110" s="536"/>
      <c r="J110" s="536"/>
      <c r="K110" s="536"/>
      <c r="L110" s="536"/>
    </row>
    <row r="111" spans="1:12">
      <c r="A111" s="539" t="s">
        <v>598</v>
      </c>
      <c r="B111" s="539" t="s">
        <v>377</v>
      </c>
      <c r="C111" s="539" t="s">
        <v>583</v>
      </c>
      <c r="D111" s="539" t="s">
        <v>384</v>
      </c>
      <c r="E111" s="539">
        <v>4</v>
      </c>
      <c r="F111" s="540" t="s">
        <v>391</v>
      </c>
      <c r="G111" s="536"/>
      <c r="H111" s="536"/>
      <c r="I111" s="536"/>
      <c r="J111" s="536"/>
      <c r="K111" s="536"/>
      <c r="L111" s="536"/>
    </row>
    <row r="112" spans="1:12">
      <c r="A112" s="539" t="s">
        <v>599</v>
      </c>
      <c r="B112" s="539" t="s">
        <v>377</v>
      </c>
      <c r="C112" s="539" t="s">
        <v>583</v>
      </c>
      <c r="D112" s="539" t="s">
        <v>384</v>
      </c>
      <c r="E112" s="539">
        <v>4</v>
      </c>
      <c r="F112" s="540" t="s">
        <v>391</v>
      </c>
      <c r="G112" s="536"/>
      <c r="H112" s="536"/>
      <c r="I112" s="536"/>
      <c r="J112" s="536"/>
      <c r="K112" s="536"/>
      <c r="L112" s="536"/>
    </row>
    <row r="113" spans="1:12">
      <c r="A113" s="539" t="s">
        <v>600</v>
      </c>
      <c r="B113" s="539" t="s">
        <v>377</v>
      </c>
      <c r="C113" s="539" t="s">
        <v>583</v>
      </c>
      <c r="D113" s="539" t="s">
        <v>384</v>
      </c>
      <c r="E113" s="539">
        <v>4</v>
      </c>
      <c r="F113" s="540" t="s">
        <v>391</v>
      </c>
      <c r="G113" s="536"/>
      <c r="H113" s="536"/>
      <c r="I113" s="536"/>
      <c r="J113" s="536"/>
      <c r="K113" s="536"/>
      <c r="L113" s="536"/>
    </row>
    <row r="114" spans="1:12">
      <c r="A114" s="539" t="s">
        <v>601</v>
      </c>
      <c r="B114" s="539" t="s">
        <v>377</v>
      </c>
      <c r="C114" s="539" t="s">
        <v>595</v>
      </c>
      <c r="D114" s="539" t="s">
        <v>384</v>
      </c>
      <c r="E114" s="539">
        <v>4</v>
      </c>
      <c r="F114" s="540" t="s">
        <v>391</v>
      </c>
      <c r="G114" s="536"/>
      <c r="H114" s="536"/>
      <c r="I114" s="536"/>
      <c r="J114" s="536"/>
      <c r="K114" s="536"/>
      <c r="L114" s="536"/>
    </row>
    <row r="115" spans="1:12">
      <c r="A115" s="539" t="s">
        <v>602</v>
      </c>
      <c r="B115" s="539" t="s">
        <v>377</v>
      </c>
      <c r="C115" s="539" t="s">
        <v>595</v>
      </c>
      <c r="D115" s="539" t="s">
        <v>384</v>
      </c>
      <c r="E115" s="539">
        <v>4</v>
      </c>
      <c r="F115" s="540" t="s">
        <v>391</v>
      </c>
      <c r="G115" s="536"/>
      <c r="H115" s="536"/>
      <c r="I115" s="536"/>
      <c r="J115" s="536"/>
      <c r="K115" s="536"/>
      <c r="L115" s="536"/>
    </row>
    <row r="116" spans="1:12">
      <c r="A116" s="539" t="s">
        <v>603</v>
      </c>
      <c r="B116" s="539" t="s">
        <v>377</v>
      </c>
      <c r="C116" s="539" t="s">
        <v>595</v>
      </c>
      <c r="D116" s="539" t="s">
        <v>384</v>
      </c>
      <c r="E116" s="539">
        <v>4</v>
      </c>
      <c r="F116" s="540" t="s">
        <v>391</v>
      </c>
      <c r="G116" s="536"/>
      <c r="H116" s="536"/>
      <c r="I116" s="536"/>
      <c r="J116" s="536"/>
      <c r="K116" s="536"/>
      <c r="L116" s="536"/>
    </row>
    <row r="117" spans="1:12">
      <c r="A117" s="539" t="s">
        <v>604</v>
      </c>
      <c r="B117" s="539" t="s">
        <v>377</v>
      </c>
      <c r="C117" s="539" t="s">
        <v>595</v>
      </c>
      <c r="D117" s="539" t="s">
        <v>384</v>
      </c>
      <c r="E117" s="539">
        <v>4</v>
      </c>
      <c r="F117" s="540" t="s">
        <v>391</v>
      </c>
      <c r="G117" s="536"/>
      <c r="H117" s="536"/>
      <c r="I117" s="536"/>
      <c r="J117" s="536"/>
      <c r="K117" s="536"/>
      <c r="L117" s="536"/>
    </row>
    <row r="118" spans="1:12">
      <c r="A118" s="539" t="s">
        <v>605</v>
      </c>
      <c r="B118" s="539" t="s">
        <v>377</v>
      </c>
      <c r="C118" s="539" t="s">
        <v>595</v>
      </c>
      <c r="D118" s="539" t="s">
        <v>384</v>
      </c>
      <c r="E118" s="539">
        <v>4</v>
      </c>
      <c r="F118" s="540" t="s">
        <v>391</v>
      </c>
      <c r="G118" s="536"/>
      <c r="H118" s="536"/>
      <c r="I118" s="536"/>
      <c r="J118" s="536"/>
      <c r="K118" s="536"/>
      <c r="L118" s="536"/>
    </row>
    <row r="119" spans="1:12">
      <c r="A119" s="539" t="s">
        <v>606</v>
      </c>
      <c r="B119" s="539" t="s">
        <v>377</v>
      </c>
      <c r="C119" s="539" t="s">
        <v>595</v>
      </c>
      <c r="D119" s="539" t="s">
        <v>384</v>
      </c>
      <c r="E119" s="539">
        <v>4</v>
      </c>
      <c r="F119" s="540" t="s">
        <v>391</v>
      </c>
      <c r="G119" s="536"/>
      <c r="H119" s="536"/>
      <c r="I119" s="536"/>
      <c r="J119" s="536"/>
      <c r="K119" s="536"/>
      <c r="L119" s="536"/>
    </row>
    <row r="120" spans="1:12">
      <c r="A120" s="539" t="s">
        <v>607</v>
      </c>
      <c r="B120" s="539" t="s">
        <v>377</v>
      </c>
      <c r="C120" s="539" t="s">
        <v>595</v>
      </c>
      <c r="D120" s="539" t="s">
        <v>384</v>
      </c>
      <c r="E120" s="539">
        <v>4</v>
      </c>
      <c r="F120" s="540" t="s">
        <v>391</v>
      </c>
      <c r="G120" s="536"/>
      <c r="H120" s="536"/>
      <c r="I120" s="536"/>
      <c r="J120" s="536"/>
      <c r="K120" s="536"/>
      <c r="L120" s="536"/>
    </row>
    <row r="121" spans="1:12">
      <c r="A121" s="539" t="s">
        <v>608</v>
      </c>
      <c r="B121" s="539" t="s">
        <v>377</v>
      </c>
      <c r="C121" s="539" t="s">
        <v>595</v>
      </c>
      <c r="D121" s="539" t="s">
        <v>384</v>
      </c>
      <c r="E121" s="539">
        <v>4</v>
      </c>
      <c r="F121" s="540" t="s">
        <v>391</v>
      </c>
      <c r="G121" s="536"/>
      <c r="H121" s="536"/>
      <c r="I121" s="536"/>
      <c r="J121" s="536"/>
      <c r="K121" s="536"/>
      <c r="L121" s="536"/>
    </row>
    <row r="122" spans="1:12">
      <c r="A122" s="539" t="s">
        <v>609</v>
      </c>
      <c r="B122" s="539" t="s">
        <v>377</v>
      </c>
      <c r="C122" s="539" t="s">
        <v>595</v>
      </c>
      <c r="D122" s="539" t="s">
        <v>384</v>
      </c>
      <c r="E122" s="539">
        <v>4</v>
      </c>
      <c r="F122" s="540" t="s">
        <v>391</v>
      </c>
      <c r="G122" s="536"/>
      <c r="H122" s="536"/>
      <c r="I122" s="536"/>
      <c r="J122" s="536"/>
      <c r="K122" s="536"/>
      <c r="L122" s="536"/>
    </row>
    <row r="123" spans="1:12">
      <c r="A123" s="539" t="s">
        <v>610</v>
      </c>
      <c r="B123" s="539" t="s">
        <v>377</v>
      </c>
      <c r="C123" s="539" t="s">
        <v>595</v>
      </c>
      <c r="D123" s="539" t="s">
        <v>384</v>
      </c>
      <c r="E123" s="539">
        <v>4</v>
      </c>
      <c r="F123" s="540" t="s">
        <v>391</v>
      </c>
      <c r="G123" s="536"/>
      <c r="H123" s="536"/>
      <c r="I123" s="536"/>
      <c r="J123" s="536"/>
      <c r="K123" s="536"/>
      <c r="L123" s="536"/>
    </row>
    <row r="124" spans="1:12">
      <c r="A124" s="539" t="s">
        <v>611</v>
      </c>
      <c r="B124" s="539" t="s">
        <v>377</v>
      </c>
      <c r="C124" s="539" t="s">
        <v>595</v>
      </c>
      <c r="D124" s="539" t="s">
        <v>405</v>
      </c>
      <c r="E124" s="539">
        <v>4</v>
      </c>
      <c r="F124" s="540" t="s">
        <v>391</v>
      </c>
      <c r="G124" s="536"/>
      <c r="H124" s="536"/>
      <c r="I124" s="536"/>
      <c r="J124" s="536"/>
      <c r="K124" s="536"/>
      <c r="L124" s="536"/>
    </row>
    <row r="125" spans="1:12">
      <c r="A125" s="539" t="s">
        <v>612</v>
      </c>
      <c r="B125" s="539" t="s">
        <v>377</v>
      </c>
      <c r="C125" s="539" t="s">
        <v>595</v>
      </c>
      <c r="D125" s="539" t="s">
        <v>405</v>
      </c>
      <c r="E125" s="539">
        <v>4</v>
      </c>
      <c r="F125" s="540" t="s">
        <v>391</v>
      </c>
      <c r="G125" s="536"/>
      <c r="H125" s="536"/>
      <c r="I125" s="536"/>
      <c r="J125" s="536"/>
      <c r="K125" s="536"/>
      <c r="L125" s="536"/>
    </row>
    <row r="126" spans="1:12">
      <c r="A126" s="539" t="s">
        <v>613</v>
      </c>
      <c r="B126" s="539" t="s">
        <v>377</v>
      </c>
      <c r="C126" s="539" t="s">
        <v>595</v>
      </c>
      <c r="D126" s="539" t="s">
        <v>405</v>
      </c>
      <c r="E126" s="539">
        <v>4</v>
      </c>
      <c r="F126" s="540" t="s">
        <v>391</v>
      </c>
      <c r="G126" s="536"/>
      <c r="H126" s="536"/>
      <c r="I126" s="536"/>
      <c r="J126" s="536"/>
      <c r="K126" s="536"/>
      <c r="L126" s="536"/>
    </row>
    <row r="127" spans="1:12">
      <c r="A127" s="539" t="s">
        <v>614</v>
      </c>
      <c r="B127" s="539" t="s">
        <v>377</v>
      </c>
      <c r="C127" s="539" t="s">
        <v>595</v>
      </c>
      <c r="D127" s="539" t="s">
        <v>405</v>
      </c>
      <c r="E127" s="539">
        <v>4</v>
      </c>
      <c r="F127" s="540" t="s">
        <v>391</v>
      </c>
      <c r="G127" s="536"/>
      <c r="H127" s="536"/>
      <c r="I127" s="536"/>
      <c r="J127" s="536"/>
      <c r="K127" s="536"/>
      <c r="L127" s="536"/>
    </row>
    <row r="128" spans="1:12">
      <c r="A128" s="539" t="s">
        <v>615</v>
      </c>
      <c r="B128" s="539" t="s">
        <v>377</v>
      </c>
      <c r="C128" s="539" t="s">
        <v>595</v>
      </c>
      <c r="D128" s="539" t="s">
        <v>405</v>
      </c>
      <c r="E128" s="539">
        <v>4</v>
      </c>
      <c r="F128" s="540" t="s">
        <v>391</v>
      </c>
      <c r="G128" s="536"/>
      <c r="H128" s="536"/>
      <c r="I128" s="536"/>
      <c r="J128" s="536"/>
      <c r="K128" s="536"/>
      <c r="L128" s="536"/>
    </row>
    <row r="129" spans="1:12">
      <c r="A129" s="539" t="s">
        <v>616</v>
      </c>
      <c r="B129" s="539" t="s">
        <v>377</v>
      </c>
      <c r="C129" s="539" t="s">
        <v>595</v>
      </c>
      <c r="D129" s="539" t="s">
        <v>405</v>
      </c>
      <c r="E129" s="539">
        <v>4</v>
      </c>
      <c r="F129" s="540" t="s">
        <v>391</v>
      </c>
      <c r="G129" s="536"/>
      <c r="H129" s="536"/>
      <c r="I129" s="536"/>
      <c r="J129" s="536"/>
      <c r="K129" s="536"/>
      <c r="L129" s="536"/>
    </row>
    <row r="130" spans="1:12">
      <c r="A130" s="539" t="s">
        <v>617</v>
      </c>
      <c r="B130" s="539" t="s">
        <v>377</v>
      </c>
      <c r="C130" s="539" t="s">
        <v>595</v>
      </c>
      <c r="D130" s="539" t="s">
        <v>405</v>
      </c>
      <c r="E130" s="539">
        <v>4</v>
      </c>
      <c r="F130" s="540" t="s">
        <v>391</v>
      </c>
      <c r="G130" s="536"/>
      <c r="H130" s="536"/>
      <c r="I130" s="536"/>
      <c r="J130" s="536"/>
      <c r="K130" s="536"/>
      <c r="L130" s="536"/>
    </row>
    <row r="131" spans="1:12">
      <c r="A131" s="539" t="s">
        <v>618</v>
      </c>
      <c r="B131" s="539" t="s">
        <v>377</v>
      </c>
      <c r="C131" s="539" t="s">
        <v>595</v>
      </c>
      <c r="D131" s="539" t="s">
        <v>418</v>
      </c>
      <c r="E131" s="539">
        <v>4</v>
      </c>
      <c r="F131" s="540" t="s">
        <v>391</v>
      </c>
      <c r="G131" s="536"/>
      <c r="H131" s="536"/>
      <c r="I131" s="536"/>
      <c r="J131" s="536"/>
      <c r="K131" s="536"/>
      <c r="L131" s="536"/>
    </row>
    <row r="132" spans="1:12">
      <c r="A132" s="539" t="s">
        <v>619</v>
      </c>
      <c r="B132" s="539" t="s">
        <v>377</v>
      </c>
      <c r="C132" s="539" t="s">
        <v>595</v>
      </c>
      <c r="D132" s="539" t="s">
        <v>418</v>
      </c>
      <c r="E132" s="539">
        <v>4</v>
      </c>
      <c r="F132" s="540" t="s">
        <v>391</v>
      </c>
      <c r="G132" s="536"/>
      <c r="H132" s="536"/>
      <c r="I132" s="536"/>
      <c r="J132" s="536"/>
      <c r="K132" s="536"/>
      <c r="L132" s="536"/>
    </row>
    <row r="133" spans="1:12">
      <c r="A133" s="539" t="s">
        <v>620</v>
      </c>
      <c r="B133" s="539" t="s">
        <v>377</v>
      </c>
      <c r="C133" s="539" t="s">
        <v>595</v>
      </c>
      <c r="D133" s="539" t="s">
        <v>418</v>
      </c>
      <c r="E133" s="539">
        <v>4</v>
      </c>
      <c r="F133" s="540" t="s">
        <v>391</v>
      </c>
      <c r="G133" s="536"/>
      <c r="H133" s="536"/>
      <c r="I133" s="536"/>
      <c r="J133" s="536"/>
      <c r="K133" s="536"/>
      <c r="L133" s="536"/>
    </row>
    <row r="134" spans="1:12">
      <c r="A134" s="539" t="s">
        <v>621</v>
      </c>
      <c r="B134" s="539" t="s">
        <v>377</v>
      </c>
      <c r="C134" s="539" t="s">
        <v>595</v>
      </c>
      <c r="D134" s="539" t="s">
        <v>418</v>
      </c>
      <c r="E134" s="539">
        <v>4</v>
      </c>
      <c r="F134" s="540" t="s">
        <v>391</v>
      </c>
      <c r="G134" s="536"/>
      <c r="H134" s="536"/>
      <c r="I134" s="536"/>
      <c r="J134" s="536"/>
      <c r="K134" s="536"/>
      <c r="L134" s="536"/>
    </row>
    <row r="135" spans="1:12">
      <c r="A135" s="539" t="s">
        <v>622</v>
      </c>
      <c r="B135" s="539" t="s">
        <v>377</v>
      </c>
      <c r="C135" s="539" t="s">
        <v>595</v>
      </c>
      <c r="D135" s="539" t="s">
        <v>418</v>
      </c>
      <c r="E135" s="539">
        <v>4</v>
      </c>
      <c r="F135" s="540" t="s">
        <v>391</v>
      </c>
      <c r="G135" s="536"/>
      <c r="H135" s="536"/>
      <c r="I135" s="536"/>
      <c r="J135" s="536"/>
      <c r="K135" s="536"/>
      <c r="L135" s="536"/>
    </row>
    <row r="136" spans="1:12">
      <c r="A136" s="539" t="s">
        <v>623</v>
      </c>
      <c r="B136" s="539" t="s">
        <v>377</v>
      </c>
      <c r="C136" s="539" t="s">
        <v>595</v>
      </c>
      <c r="D136" s="539" t="s">
        <v>418</v>
      </c>
      <c r="E136" s="539">
        <v>4</v>
      </c>
      <c r="F136" s="540" t="s">
        <v>391</v>
      </c>
      <c r="G136" s="536"/>
      <c r="H136" s="536"/>
      <c r="I136" s="536"/>
      <c r="J136" s="536"/>
      <c r="K136" s="536"/>
      <c r="L136" s="536"/>
    </row>
    <row r="137" spans="1:12">
      <c r="A137" s="539" t="s">
        <v>624</v>
      </c>
      <c r="B137" s="539" t="s">
        <v>377</v>
      </c>
      <c r="C137" s="539" t="s">
        <v>595</v>
      </c>
      <c r="D137" s="539" t="s">
        <v>418</v>
      </c>
      <c r="E137" s="539">
        <v>4</v>
      </c>
      <c r="F137" s="540" t="s">
        <v>391</v>
      </c>
      <c r="G137" s="536"/>
      <c r="H137" s="536"/>
      <c r="I137" s="536"/>
      <c r="J137" s="536"/>
      <c r="K137" s="536"/>
      <c r="L137" s="536"/>
    </row>
    <row r="138" spans="1:12">
      <c r="A138" s="539" t="s">
        <v>625</v>
      </c>
      <c r="B138" s="539" t="s">
        <v>377</v>
      </c>
      <c r="C138" s="539" t="s">
        <v>595</v>
      </c>
      <c r="D138" s="539" t="s">
        <v>418</v>
      </c>
      <c r="E138" s="539">
        <v>4</v>
      </c>
      <c r="F138" s="540" t="s">
        <v>391</v>
      </c>
      <c r="G138" s="536"/>
      <c r="H138" s="536"/>
      <c r="I138" s="536"/>
      <c r="J138" s="536"/>
      <c r="K138" s="536"/>
      <c r="L138" s="536"/>
    </row>
    <row r="139" spans="1:12">
      <c r="A139" s="539" t="s">
        <v>626</v>
      </c>
      <c r="B139" s="539" t="s">
        <v>377</v>
      </c>
      <c r="C139" s="539" t="s">
        <v>626</v>
      </c>
      <c r="D139" s="539" t="s">
        <v>384</v>
      </c>
      <c r="E139" s="539">
        <v>4</v>
      </c>
      <c r="F139" s="540" t="s">
        <v>391</v>
      </c>
      <c r="G139" s="536"/>
      <c r="H139" s="536"/>
      <c r="I139" s="536"/>
      <c r="J139" s="536"/>
      <c r="K139" s="536"/>
      <c r="L139" s="536"/>
    </row>
    <row r="140" spans="1:12">
      <c r="A140" s="539" t="s">
        <v>627</v>
      </c>
      <c r="B140" s="539" t="s">
        <v>377</v>
      </c>
      <c r="C140" s="539" t="s">
        <v>626</v>
      </c>
      <c r="D140" s="539" t="s">
        <v>405</v>
      </c>
      <c r="E140" s="539">
        <v>4</v>
      </c>
      <c r="F140" s="540" t="s">
        <v>391</v>
      </c>
      <c r="G140" s="536"/>
      <c r="H140" s="536"/>
      <c r="I140" s="536"/>
      <c r="J140" s="536"/>
      <c r="K140" s="536"/>
      <c r="L140" s="536"/>
    </row>
    <row r="141" spans="1:12">
      <c r="A141" s="539" t="s">
        <v>628</v>
      </c>
      <c r="B141" s="539" t="s">
        <v>377</v>
      </c>
      <c r="C141" s="539" t="s">
        <v>629</v>
      </c>
      <c r="D141" s="539" t="s">
        <v>384</v>
      </c>
      <c r="E141" s="539">
        <v>3</v>
      </c>
      <c r="F141" s="540" t="s">
        <v>565</v>
      </c>
      <c r="G141" s="536"/>
      <c r="H141" s="536"/>
      <c r="I141" s="536"/>
      <c r="J141" s="536"/>
      <c r="K141" s="536"/>
      <c r="L141" s="536"/>
    </row>
    <row r="142" spans="1:12">
      <c r="A142" s="539" t="s">
        <v>630</v>
      </c>
      <c r="B142" s="539" t="s">
        <v>377</v>
      </c>
      <c r="C142" s="539" t="s">
        <v>629</v>
      </c>
      <c r="D142" s="539" t="s">
        <v>384</v>
      </c>
      <c r="E142" s="539">
        <v>3</v>
      </c>
      <c r="F142" s="540" t="s">
        <v>565</v>
      </c>
      <c r="G142" s="536"/>
      <c r="H142" s="536"/>
      <c r="I142" s="536"/>
      <c r="J142" s="536"/>
      <c r="K142" s="536"/>
      <c r="L142" s="536"/>
    </row>
    <row r="143" spans="1:12">
      <c r="A143" s="539" t="s">
        <v>631</v>
      </c>
      <c r="B143" s="539" t="s">
        <v>377</v>
      </c>
      <c r="C143" s="539" t="s">
        <v>629</v>
      </c>
      <c r="D143" s="539" t="s">
        <v>405</v>
      </c>
      <c r="E143" s="539">
        <v>3</v>
      </c>
      <c r="F143" s="540" t="s">
        <v>565</v>
      </c>
      <c r="G143" s="536"/>
      <c r="H143" s="536"/>
      <c r="I143" s="536"/>
      <c r="J143" s="536"/>
      <c r="K143" s="536"/>
      <c r="L143" s="536"/>
    </row>
    <row r="144" spans="1:12">
      <c r="A144" s="539" t="s">
        <v>632</v>
      </c>
      <c r="B144" s="539" t="s">
        <v>377</v>
      </c>
      <c r="C144" s="539" t="s">
        <v>629</v>
      </c>
      <c r="D144" s="539" t="s">
        <v>405</v>
      </c>
      <c r="E144" s="539">
        <v>3</v>
      </c>
      <c r="F144" s="540" t="s">
        <v>565</v>
      </c>
      <c r="G144" s="536"/>
      <c r="H144" s="536"/>
      <c r="I144" s="536"/>
      <c r="J144" s="536"/>
      <c r="K144" s="536"/>
      <c r="L144" s="536"/>
    </row>
    <row r="145" spans="1:12">
      <c r="A145" s="539" t="s">
        <v>633</v>
      </c>
      <c r="B145" s="539" t="s">
        <v>377</v>
      </c>
      <c r="C145" s="539" t="s">
        <v>629</v>
      </c>
      <c r="D145" s="539" t="s">
        <v>405</v>
      </c>
      <c r="E145" s="539">
        <v>3</v>
      </c>
      <c r="F145" s="540" t="s">
        <v>565</v>
      </c>
      <c r="G145" s="536"/>
      <c r="H145" s="536"/>
      <c r="I145" s="536"/>
      <c r="J145" s="536"/>
      <c r="K145" s="536"/>
      <c r="L145" s="536"/>
    </row>
    <row r="146" spans="1:12">
      <c r="A146" s="539" t="s">
        <v>634</v>
      </c>
      <c r="B146" s="539" t="s">
        <v>377</v>
      </c>
      <c r="C146" s="539" t="s">
        <v>629</v>
      </c>
      <c r="D146" s="539" t="s">
        <v>405</v>
      </c>
      <c r="E146" s="539">
        <v>3</v>
      </c>
      <c r="F146" s="540" t="s">
        <v>565</v>
      </c>
      <c r="G146" s="536"/>
      <c r="H146" s="536"/>
      <c r="I146" s="536"/>
      <c r="J146" s="536"/>
      <c r="K146" s="536"/>
      <c r="L146" s="536"/>
    </row>
    <row r="147" spans="1:12">
      <c r="A147" s="539" t="s">
        <v>635</v>
      </c>
      <c r="B147" s="539" t="s">
        <v>377</v>
      </c>
      <c r="C147" s="539" t="s">
        <v>629</v>
      </c>
      <c r="D147" s="539" t="s">
        <v>405</v>
      </c>
      <c r="E147" s="539">
        <v>3</v>
      </c>
      <c r="F147" s="540" t="s">
        <v>565</v>
      </c>
      <c r="G147" s="536"/>
      <c r="H147" s="536"/>
      <c r="I147" s="536"/>
      <c r="J147" s="536"/>
      <c r="K147" s="536"/>
      <c r="L147" s="536"/>
    </row>
    <row r="148" spans="1:12">
      <c r="A148" s="539" t="s">
        <v>636</v>
      </c>
      <c r="B148" s="539" t="s">
        <v>377</v>
      </c>
      <c r="C148" s="539" t="s">
        <v>629</v>
      </c>
      <c r="D148" s="539" t="s">
        <v>405</v>
      </c>
      <c r="E148" s="539">
        <v>3</v>
      </c>
      <c r="F148" s="540" t="s">
        <v>565</v>
      </c>
      <c r="G148" s="536"/>
      <c r="H148" s="536"/>
      <c r="I148" s="536"/>
      <c r="J148" s="536"/>
      <c r="K148" s="536"/>
      <c r="L148" s="536"/>
    </row>
    <row r="149" spans="1:12">
      <c r="A149" s="539" t="s">
        <v>637</v>
      </c>
      <c r="B149" s="539" t="s">
        <v>377</v>
      </c>
      <c r="C149" s="539" t="s">
        <v>629</v>
      </c>
      <c r="D149" s="539" t="s">
        <v>418</v>
      </c>
      <c r="E149" s="539">
        <v>3</v>
      </c>
      <c r="F149" s="540" t="s">
        <v>565</v>
      </c>
      <c r="G149" s="536"/>
      <c r="H149" s="536"/>
      <c r="I149" s="536"/>
      <c r="J149" s="536"/>
      <c r="K149" s="536"/>
      <c r="L149" s="536"/>
    </row>
    <row r="150" spans="1:12">
      <c r="A150" s="539" t="s">
        <v>638</v>
      </c>
      <c r="B150" s="539" t="s">
        <v>377</v>
      </c>
      <c r="C150" s="539" t="s">
        <v>629</v>
      </c>
      <c r="D150" s="539" t="s">
        <v>418</v>
      </c>
      <c r="E150" s="539">
        <v>3</v>
      </c>
      <c r="F150" s="540" t="s">
        <v>565</v>
      </c>
      <c r="G150" s="536"/>
      <c r="H150" s="536"/>
      <c r="I150" s="536"/>
      <c r="J150" s="536"/>
      <c r="K150" s="536"/>
      <c r="L150" s="536"/>
    </row>
    <row r="151" spans="1:12">
      <c r="A151" s="539"/>
      <c r="B151" s="539"/>
      <c r="C151" s="539"/>
      <c r="D151" s="539"/>
      <c r="E151" s="539"/>
      <c r="F151" s="540"/>
      <c r="G151" s="536"/>
      <c r="H151" s="536"/>
      <c r="I151" s="536"/>
      <c r="J151" s="536"/>
      <c r="K151" s="536"/>
      <c r="L151" s="536"/>
    </row>
  </sheetData>
  <phoneticPr fontId="3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교육과정편제표(조리과)</vt:lpstr>
      <vt:lpstr>교육과정편제표(미용과)</vt:lpstr>
      <vt:lpstr>실무과목 능력단위(조리과)</vt:lpstr>
      <vt:lpstr>실무과목 능력단위(미용과)</vt:lpstr>
      <vt:lpstr>삭제금지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EWA KIM</cp:lastModifiedBy>
  <dcterms:modified xsi:type="dcterms:W3CDTF">2026-10-21T06:45:49Z</dcterms:modified>
</cp:coreProperties>
</file>