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B89E67-E127-4DAA-9CB7-BFE3CC8A6F23}" xr6:coauthVersionLast="47" xr6:coauthVersionMax="47" xr10:uidLastSave="{00000000-0000-0000-0000-000000000000}"/>
  <bookViews>
    <workbookView xWindow="-16875" yWindow="-16320" windowWidth="29040" windowHeight="15720" tabRatio="795" xr2:uid="{00000000-000D-0000-FFFF-FFFF00000000}"/>
  </bookViews>
  <sheets>
    <sheet name="교육과정편제표(항공기계과)" sheetId="17" r:id="rId1"/>
    <sheet name="교육과정편제표(항공전기전자과)" sheetId="20" r:id="rId2"/>
    <sheet name="교육과정편제표(지형공간디자인과)" sheetId="21" r:id="rId3"/>
    <sheet name="교육과정편제표(바이오제약과)" sheetId="22" r:id="rId4"/>
    <sheet name="실무과목 능력단위(항공기계과)" sheetId="14" r:id="rId5"/>
    <sheet name="실무과목 능력단위(항공전기전자과)" sheetId="24" r:id="rId6"/>
    <sheet name="실무과목 능력단위(지형공간디자인과)" sheetId="25" r:id="rId7"/>
    <sheet name="실무과목 능력단위(바이오제약과)" sheetId="26" r:id="rId8"/>
    <sheet name="삭제금지" sheetId="4" r:id="rId9"/>
    <sheet name="(참고1) 편성 기준🔐" sheetId="16" r:id="rId10"/>
  </sheets>
  <definedNames>
    <definedName name="_xlnm._FilterDatabase" localSheetId="3" hidden="1">'교육과정편제표(바이오제약과)'!$M$3:$P$4</definedName>
    <definedName name="_xlnm._FilterDatabase" localSheetId="2" hidden="1">'교육과정편제표(지형공간디자인과)'!$M$3:$P$4</definedName>
    <definedName name="_xlnm._FilterDatabase" localSheetId="0" hidden="1">'교육과정편제표(항공기계과)'!$M$3:$P$4</definedName>
    <definedName name="_xlnm._FilterDatabase" localSheetId="1" hidden="1">'교육과정편제표(항공전기전자과)'!$M$3:$P$4</definedName>
    <definedName name="_xlnm._FilterDatabase" localSheetId="8" hidden="1">삭제금지!$A$1:$F$151</definedName>
    <definedName name="_xlnm._FilterDatabase" localSheetId="7" hidden="1">'실무과목 능력단위(바이오제약과)'!#REF!</definedName>
    <definedName name="_xlnm._FilterDatabase" localSheetId="6" hidden="1">'실무과목 능력단위(지형공간디자인과)'!#REF!</definedName>
    <definedName name="_xlnm._FilterDatabase" localSheetId="4" hidden="1">'실무과목 능력단위(항공기계과)'!#REF!</definedName>
    <definedName name="_xlnm._FilterDatabase" localSheetId="5" hidden="1">'실무과목 능력단위(항공전기전자과)'!#REF!</definedName>
    <definedName name="_xlnm.Print_Area" localSheetId="3">'교육과정편제표(바이오제약과)'!$A$1:$AE$69</definedName>
    <definedName name="_xlnm.Print_Area" localSheetId="2">'교육과정편제표(지형공간디자인과)'!$A$1:$AE$71</definedName>
    <definedName name="_xlnm.Print_Area" localSheetId="0">'교육과정편제표(항공기계과)'!$A$1:$AE$61</definedName>
    <definedName name="_xlnm.Print_Area" localSheetId="1">'교육과정편제표(항공전기전자과)'!$A$1:$AE$73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" i="14" l="1"/>
  <c r="C70" i="14"/>
  <c r="C65" i="14"/>
  <c r="C60" i="14"/>
  <c r="C54" i="14"/>
  <c r="C49" i="14"/>
  <c r="C44" i="14"/>
  <c r="C39" i="14"/>
  <c r="C35" i="14"/>
  <c r="C30" i="14"/>
  <c r="C24" i="14"/>
  <c r="C21" i="14"/>
  <c r="C14" i="14"/>
  <c r="C9" i="14"/>
  <c r="Q98" i="24"/>
  <c r="R98" i="24"/>
  <c r="S98" i="24"/>
  <c r="P98" i="24"/>
  <c r="Q94" i="24"/>
  <c r="R94" i="24"/>
  <c r="S94" i="24"/>
  <c r="P94" i="24"/>
  <c r="Q89" i="24"/>
  <c r="R89" i="24"/>
  <c r="S89" i="24"/>
  <c r="P89" i="24"/>
  <c r="M84" i="24"/>
  <c r="N84" i="24"/>
  <c r="O84" i="24"/>
  <c r="L84" i="24"/>
  <c r="M78" i="24"/>
  <c r="N78" i="24"/>
  <c r="O78" i="24"/>
  <c r="L78" i="24"/>
  <c r="Q73" i="24"/>
  <c r="R73" i="24"/>
  <c r="S73" i="24"/>
  <c r="P73" i="24"/>
  <c r="S68" i="24"/>
  <c r="R68" i="24"/>
  <c r="Q68" i="24"/>
  <c r="P68" i="24"/>
  <c r="S61" i="24"/>
  <c r="R61" i="24"/>
  <c r="O56" i="24"/>
  <c r="N56" i="24"/>
  <c r="M56" i="24"/>
  <c r="L56" i="24"/>
  <c r="S46" i="24"/>
  <c r="R46" i="24"/>
  <c r="S43" i="24"/>
  <c r="R43" i="24"/>
  <c r="Q43" i="24"/>
  <c r="P43" i="24"/>
  <c r="R38" i="24"/>
  <c r="P38" i="24"/>
  <c r="U96" i="24"/>
  <c r="U97" i="24"/>
  <c r="U78" i="24"/>
  <c r="U70" i="24"/>
  <c r="U71" i="24"/>
  <c r="U72" i="24"/>
  <c r="U63" i="24"/>
  <c r="U64" i="24"/>
  <c r="U65" i="24"/>
  <c r="U66" i="24"/>
  <c r="U67" i="24"/>
  <c r="U62" i="24"/>
  <c r="U58" i="24"/>
  <c r="U59" i="24"/>
  <c r="U60" i="24"/>
  <c r="U57" i="24"/>
  <c r="U55" i="24"/>
  <c r="U54" i="24"/>
  <c r="T70" i="24"/>
  <c r="T71" i="24"/>
  <c r="T72" i="24"/>
  <c r="T63" i="24"/>
  <c r="T64" i="24"/>
  <c r="T65" i="24"/>
  <c r="T66" i="24"/>
  <c r="T67" i="24"/>
  <c r="T62" i="24"/>
  <c r="T58" i="24"/>
  <c r="T59" i="24"/>
  <c r="T60" i="24"/>
  <c r="T57" i="24"/>
  <c r="T55" i="24"/>
  <c r="T54" i="24"/>
  <c r="T50" i="24"/>
  <c r="U48" i="24"/>
  <c r="U49" i="24"/>
  <c r="U50" i="24"/>
  <c r="U51" i="24"/>
  <c r="U52" i="24"/>
  <c r="T48" i="24"/>
  <c r="T49" i="24"/>
  <c r="T51" i="24"/>
  <c r="T52" i="24"/>
  <c r="U45" i="24"/>
  <c r="T45" i="24"/>
  <c r="U40" i="24"/>
  <c r="U41" i="24"/>
  <c r="U42" i="24"/>
  <c r="T40" i="24"/>
  <c r="T41" i="24"/>
  <c r="T42" i="24"/>
  <c r="U35" i="24"/>
  <c r="U36" i="24"/>
  <c r="U37" i="24"/>
  <c r="T35" i="24"/>
  <c r="T36" i="24"/>
  <c r="T37" i="24"/>
  <c r="C71" i="25"/>
  <c r="C66" i="25"/>
  <c r="C63" i="25"/>
  <c r="C58" i="25"/>
  <c r="C53" i="25"/>
  <c r="C48" i="25"/>
  <c r="C45" i="25"/>
  <c r="C42" i="25"/>
  <c r="C37" i="25"/>
  <c r="C32" i="25"/>
  <c r="C27" i="25"/>
  <c r="C23" i="25"/>
  <c r="C18" i="25"/>
  <c r="C12" i="25"/>
  <c r="C9" i="25"/>
  <c r="C90" i="26"/>
  <c r="C81" i="26"/>
  <c r="C76" i="26"/>
  <c r="C65" i="26"/>
  <c r="C60" i="26"/>
  <c r="C51" i="26"/>
  <c r="C48" i="26"/>
  <c r="C43" i="26"/>
  <c r="C38" i="26"/>
  <c r="C33" i="26"/>
  <c r="C29" i="26"/>
  <c r="C24" i="26"/>
  <c r="C18" i="26"/>
  <c r="C14" i="26"/>
  <c r="C9" i="26"/>
  <c r="U91" i="26"/>
  <c r="U92" i="26"/>
  <c r="U93" i="26"/>
  <c r="U90" i="26"/>
  <c r="T91" i="26"/>
  <c r="T92" i="26"/>
  <c r="T93" i="26"/>
  <c r="T90" i="26"/>
  <c r="U82" i="26"/>
  <c r="U89" i="26" s="1"/>
  <c r="U83" i="26"/>
  <c r="U84" i="26"/>
  <c r="U85" i="26"/>
  <c r="U86" i="26"/>
  <c r="U87" i="26"/>
  <c r="U88" i="26"/>
  <c r="U81" i="26"/>
  <c r="T82" i="26"/>
  <c r="T89" i="26" s="1"/>
  <c r="T83" i="26"/>
  <c r="T84" i="26"/>
  <c r="T85" i="26"/>
  <c r="T86" i="26"/>
  <c r="T87" i="26"/>
  <c r="T88" i="26"/>
  <c r="T81" i="26"/>
  <c r="U77" i="26"/>
  <c r="U78" i="26"/>
  <c r="U79" i="26"/>
  <c r="U76" i="26"/>
  <c r="U80" i="26" s="1"/>
  <c r="T77" i="26"/>
  <c r="T78" i="26"/>
  <c r="T79" i="26"/>
  <c r="T76" i="26"/>
  <c r="U66" i="26"/>
  <c r="U67" i="26"/>
  <c r="U68" i="26"/>
  <c r="U69" i="26"/>
  <c r="U70" i="26"/>
  <c r="U71" i="26"/>
  <c r="U72" i="26"/>
  <c r="U73" i="26"/>
  <c r="U74" i="26"/>
  <c r="U65" i="26"/>
  <c r="T66" i="26"/>
  <c r="T67" i="26"/>
  <c r="T68" i="26"/>
  <c r="T69" i="26"/>
  <c r="T70" i="26"/>
  <c r="T71" i="26"/>
  <c r="T75" i="26" s="1"/>
  <c r="T72" i="26"/>
  <c r="T73" i="26"/>
  <c r="T74" i="26"/>
  <c r="T65" i="26"/>
  <c r="T61" i="26"/>
  <c r="T62" i="26"/>
  <c r="T63" i="26"/>
  <c r="T60" i="26"/>
  <c r="T64" i="26" s="1"/>
  <c r="T52" i="26"/>
  <c r="T53" i="26"/>
  <c r="T54" i="26"/>
  <c r="T55" i="26"/>
  <c r="U55" i="26" s="1"/>
  <c r="T56" i="26"/>
  <c r="U56" i="26" s="1"/>
  <c r="T57" i="26"/>
  <c r="U57" i="26" s="1"/>
  <c r="T58" i="26"/>
  <c r="U58" i="26" s="1"/>
  <c r="T51" i="26"/>
  <c r="S47" i="26"/>
  <c r="T47" i="26"/>
  <c r="T49" i="26"/>
  <c r="T48" i="26"/>
  <c r="T45" i="26"/>
  <c r="T46" i="26"/>
  <c r="T39" i="26"/>
  <c r="T40" i="26"/>
  <c r="T41" i="26"/>
  <c r="U61" i="26"/>
  <c r="U62" i="26"/>
  <c r="U63" i="26"/>
  <c r="U60" i="26"/>
  <c r="U52" i="26"/>
  <c r="U53" i="26"/>
  <c r="U54" i="26"/>
  <c r="U51" i="26"/>
  <c r="U49" i="26"/>
  <c r="U48" i="26"/>
  <c r="U45" i="26"/>
  <c r="U46" i="26"/>
  <c r="U39" i="26"/>
  <c r="U40" i="26"/>
  <c r="U41" i="26"/>
  <c r="U26" i="26"/>
  <c r="U27" i="26"/>
  <c r="U15" i="26"/>
  <c r="U16" i="26"/>
  <c r="U14" i="26"/>
  <c r="U9" i="26"/>
  <c r="U10" i="26"/>
  <c r="U11" i="26"/>
  <c r="U12" i="26"/>
  <c r="T9" i="25"/>
  <c r="S93" i="26"/>
  <c r="S94" i="26" s="1"/>
  <c r="S92" i="26"/>
  <c r="Q91" i="26"/>
  <c r="Q90" i="26"/>
  <c r="S85" i="26"/>
  <c r="S86" i="26"/>
  <c r="S87" i="26"/>
  <c r="S89" i="26" s="1"/>
  <c r="S88" i="26"/>
  <c r="S84" i="26"/>
  <c r="Q82" i="26"/>
  <c r="Q89" i="26" s="1"/>
  <c r="Q83" i="26"/>
  <c r="Q81" i="26"/>
  <c r="S79" i="26"/>
  <c r="S80" i="26" s="1"/>
  <c r="S78" i="26"/>
  <c r="Q77" i="26"/>
  <c r="Q76" i="26"/>
  <c r="S72" i="26"/>
  <c r="S75" i="26" s="1"/>
  <c r="S73" i="26"/>
  <c r="S74" i="26"/>
  <c r="S71" i="26"/>
  <c r="Q66" i="26"/>
  <c r="Q67" i="26"/>
  <c r="Q68" i="26"/>
  <c r="Q69" i="26"/>
  <c r="Q75" i="26" s="1"/>
  <c r="Q70" i="26"/>
  <c r="Q65" i="26"/>
  <c r="S63" i="26"/>
  <c r="S62" i="26"/>
  <c r="Q61" i="26"/>
  <c r="Q60" i="26"/>
  <c r="O56" i="26"/>
  <c r="O59" i="26" s="1"/>
  <c r="O57" i="26"/>
  <c r="O58" i="26"/>
  <c r="O55" i="26"/>
  <c r="M52" i="26"/>
  <c r="M53" i="26"/>
  <c r="M54" i="26"/>
  <c r="M51" i="26"/>
  <c r="M59" i="26" s="1"/>
  <c r="S49" i="26"/>
  <c r="S48" i="26"/>
  <c r="Q44" i="26"/>
  <c r="U44" i="26" s="1"/>
  <c r="Q43" i="26"/>
  <c r="Q39" i="26"/>
  <c r="Q38" i="26"/>
  <c r="S50" i="26"/>
  <c r="R47" i="26"/>
  <c r="R50" i="26"/>
  <c r="P47" i="26"/>
  <c r="R42" i="26"/>
  <c r="P42" i="26"/>
  <c r="L23" i="26"/>
  <c r="U94" i="26"/>
  <c r="T94" i="26"/>
  <c r="R94" i="26"/>
  <c r="Q94" i="26"/>
  <c r="P94" i="26"/>
  <c r="R89" i="26"/>
  <c r="P89" i="26"/>
  <c r="R80" i="26"/>
  <c r="Q80" i="26"/>
  <c r="P80" i="26"/>
  <c r="R75" i="26"/>
  <c r="P75" i="26"/>
  <c r="R64" i="26"/>
  <c r="Q64" i="26"/>
  <c r="P64" i="26"/>
  <c r="N59" i="26"/>
  <c r="L59" i="26"/>
  <c r="T50" i="26"/>
  <c r="Q47" i="26"/>
  <c r="S46" i="26"/>
  <c r="S45" i="26"/>
  <c r="T44" i="26"/>
  <c r="U43" i="26"/>
  <c r="T43" i="26"/>
  <c r="S42" i="26"/>
  <c r="Q42" i="26"/>
  <c r="S41" i="26"/>
  <c r="S40" i="26"/>
  <c r="U38" i="26"/>
  <c r="T38" i="26"/>
  <c r="S37" i="26"/>
  <c r="R37" i="26"/>
  <c r="P37" i="26"/>
  <c r="N37" i="26"/>
  <c r="U36" i="26"/>
  <c r="T36" i="26"/>
  <c r="T37" i="26" s="1"/>
  <c r="Q36" i="26"/>
  <c r="T35" i="26"/>
  <c r="Q35" i="26"/>
  <c r="Q37" i="26" s="1"/>
  <c r="T34" i="26"/>
  <c r="S34" i="26"/>
  <c r="O34" i="26"/>
  <c r="U34" i="26" s="1"/>
  <c r="T33" i="26"/>
  <c r="S33" i="26"/>
  <c r="O33" i="26"/>
  <c r="U33" i="26" s="1"/>
  <c r="S32" i="26"/>
  <c r="R32" i="26"/>
  <c r="Q32" i="26"/>
  <c r="P32" i="26"/>
  <c r="N32" i="26"/>
  <c r="M32" i="26"/>
  <c r="L32" i="26"/>
  <c r="U31" i="26"/>
  <c r="T31" i="26"/>
  <c r="O31" i="26"/>
  <c r="T30" i="26"/>
  <c r="O30" i="26"/>
  <c r="U30" i="26" s="1"/>
  <c r="T29" i="26"/>
  <c r="T32" i="26" s="1"/>
  <c r="O29" i="26"/>
  <c r="O32" i="26" s="1"/>
  <c r="S28" i="26"/>
  <c r="R28" i="26"/>
  <c r="Q28" i="26"/>
  <c r="P28" i="26"/>
  <c r="O28" i="26"/>
  <c r="N28" i="26"/>
  <c r="L28" i="26"/>
  <c r="J28" i="26"/>
  <c r="T27" i="26"/>
  <c r="M27" i="26"/>
  <c r="M26" i="26"/>
  <c r="M28" i="26" s="1"/>
  <c r="T25" i="26"/>
  <c r="K25" i="26"/>
  <c r="U25" i="26" s="1"/>
  <c r="T24" i="26"/>
  <c r="T28" i="26" s="1"/>
  <c r="O24" i="26"/>
  <c r="K24" i="26"/>
  <c r="K28" i="26" s="1"/>
  <c r="S23" i="26"/>
  <c r="R23" i="26"/>
  <c r="Q23" i="26"/>
  <c r="P23" i="26"/>
  <c r="K23" i="26"/>
  <c r="J23" i="26"/>
  <c r="U22" i="26"/>
  <c r="T22" i="26"/>
  <c r="M22" i="26"/>
  <c r="T21" i="26"/>
  <c r="U21" i="26" s="1"/>
  <c r="M21" i="26"/>
  <c r="T20" i="26"/>
  <c r="U20" i="26" s="1"/>
  <c r="M20" i="26"/>
  <c r="T19" i="26"/>
  <c r="U19" i="26" s="1"/>
  <c r="T18" i="26"/>
  <c r="T23" i="26" s="1"/>
  <c r="U17" i="26"/>
  <c r="T17" i="26"/>
  <c r="S17" i="26"/>
  <c r="R17" i="26"/>
  <c r="Q17" i="26"/>
  <c r="P17" i="26"/>
  <c r="O17" i="26"/>
  <c r="N17" i="26"/>
  <c r="M17" i="26"/>
  <c r="L17" i="26"/>
  <c r="U13" i="26"/>
  <c r="T13" i="26"/>
  <c r="S13" i="26"/>
  <c r="R13" i="26"/>
  <c r="Q13" i="26"/>
  <c r="P13" i="26"/>
  <c r="O13" i="26"/>
  <c r="N13" i="26"/>
  <c r="M13" i="26"/>
  <c r="L13" i="26"/>
  <c r="T80" i="26" l="1"/>
  <c r="U64" i="26"/>
  <c r="U59" i="26"/>
  <c r="T59" i="26"/>
  <c r="U50" i="26"/>
  <c r="T42" i="26"/>
  <c r="S64" i="26"/>
  <c r="U47" i="26"/>
  <c r="U42" i="26"/>
  <c r="U18" i="26"/>
  <c r="U23" i="26" s="1"/>
  <c r="O37" i="26"/>
  <c r="U35" i="26"/>
  <c r="U37" i="26" s="1"/>
  <c r="U29" i="26"/>
  <c r="U32" i="26" s="1"/>
  <c r="U24" i="26"/>
  <c r="U28" i="26" s="1"/>
  <c r="R75" i="25" l="1"/>
  <c r="S75" i="25" s="1"/>
  <c r="P75" i="25"/>
  <c r="Q75" i="25" s="1"/>
  <c r="N75" i="25"/>
  <c r="O75" i="25" s="1"/>
  <c r="M75" i="25"/>
  <c r="L75" i="25"/>
  <c r="J75" i="25"/>
  <c r="K75" i="25" s="1"/>
  <c r="H75" i="25"/>
  <c r="T75" i="25" s="1"/>
  <c r="U74" i="25"/>
  <c r="F74" i="25" s="1"/>
  <c r="T74" i="25"/>
  <c r="S74" i="25"/>
  <c r="Q74" i="25"/>
  <c r="K74" i="25"/>
  <c r="I74" i="25"/>
  <c r="T73" i="25"/>
  <c r="S73" i="25"/>
  <c r="Q73" i="25"/>
  <c r="U73" i="25" s="1"/>
  <c r="F73" i="25" s="1"/>
  <c r="K73" i="25"/>
  <c r="I73" i="25"/>
  <c r="T72" i="25"/>
  <c r="S72" i="25"/>
  <c r="Q72" i="25"/>
  <c r="K72" i="25"/>
  <c r="I72" i="25"/>
  <c r="U72" i="25" s="1"/>
  <c r="F72" i="25" s="1"/>
  <c r="T71" i="25"/>
  <c r="S71" i="25"/>
  <c r="Q71" i="25"/>
  <c r="K71" i="25"/>
  <c r="I71" i="25"/>
  <c r="U71" i="25" s="1"/>
  <c r="F71" i="25" s="1"/>
  <c r="R70" i="25"/>
  <c r="S70" i="25" s="1"/>
  <c r="P70" i="25"/>
  <c r="Q70" i="25" s="1"/>
  <c r="O70" i="25"/>
  <c r="N70" i="25"/>
  <c r="L70" i="25"/>
  <c r="M70" i="25" s="1"/>
  <c r="J70" i="25"/>
  <c r="K70" i="25" s="1"/>
  <c r="H70" i="25"/>
  <c r="I70" i="25" s="1"/>
  <c r="U69" i="25"/>
  <c r="T69" i="25"/>
  <c r="S69" i="25"/>
  <c r="Q69" i="25"/>
  <c r="K69" i="25"/>
  <c r="I69" i="25"/>
  <c r="F69" i="25"/>
  <c r="U68" i="25"/>
  <c r="F68" i="25" s="1"/>
  <c r="T68" i="25"/>
  <c r="S68" i="25"/>
  <c r="Q68" i="25"/>
  <c r="K68" i="25"/>
  <c r="I68" i="25"/>
  <c r="U67" i="25"/>
  <c r="F67" i="25" s="1"/>
  <c r="T67" i="25"/>
  <c r="S67" i="25"/>
  <c r="Q67" i="25"/>
  <c r="K67" i="25"/>
  <c r="I67" i="25"/>
  <c r="T66" i="25"/>
  <c r="S66" i="25"/>
  <c r="Q66" i="25"/>
  <c r="U66" i="25" s="1"/>
  <c r="F66" i="25" s="1"/>
  <c r="K66" i="25"/>
  <c r="I66" i="25"/>
  <c r="R65" i="25"/>
  <c r="S65" i="25" s="1"/>
  <c r="Q65" i="25"/>
  <c r="P65" i="25"/>
  <c r="N65" i="25"/>
  <c r="O65" i="25" s="1"/>
  <c r="L65" i="25"/>
  <c r="M65" i="25" s="1"/>
  <c r="J65" i="25"/>
  <c r="T65" i="25" s="1"/>
  <c r="I65" i="25"/>
  <c r="H65" i="25"/>
  <c r="T64" i="25"/>
  <c r="Q64" i="25"/>
  <c r="O64" i="25"/>
  <c r="M64" i="25"/>
  <c r="K64" i="25"/>
  <c r="I64" i="25"/>
  <c r="U64" i="25" s="1"/>
  <c r="T63" i="25"/>
  <c r="Q63" i="25"/>
  <c r="O63" i="25"/>
  <c r="M63" i="25"/>
  <c r="K63" i="25"/>
  <c r="I63" i="25"/>
  <c r="U63" i="25" s="1"/>
  <c r="R62" i="25"/>
  <c r="S62" i="25" s="1"/>
  <c r="P62" i="25"/>
  <c r="Q62" i="25" s="1"/>
  <c r="N62" i="25"/>
  <c r="O62" i="25" s="1"/>
  <c r="M62" i="25"/>
  <c r="L62" i="25"/>
  <c r="J62" i="25"/>
  <c r="K62" i="25" s="1"/>
  <c r="H62" i="25"/>
  <c r="T62" i="25" s="1"/>
  <c r="U61" i="25"/>
  <c r="F61" i="25" s="1"/>
  <c r="T61" i="25"/>
  <c r="Q61" i="25"/>
  <c r="O61" i="25"/>
  <c r="M61" i="25"/>
  <c r="K61" i="25"/>
  <c r="I61" i="25"/>
  <c r="U60" i="25"/>
  <c r="F60" i="25" s="1"/>
  <c r="T60" i="25"/>
  <c r="Q60" i="25"/>
  <c r="O60" i="25"/>
  <c r="M60" i="25"/>
  <c r="K60" i="25"/>
  <c r="I60" i="25"/>
  <c r="U59" i="25"/>
  <c r="F59" i="25" s="1"/>
  <c r="T59" i="25"/>
  <c r="S59" i="25"/>
  <c r="O59" i="25"/>
  <c r="M59" i="25"/>
  <c r="K59" i="25"/>
  <c r="I59" i="25"/>
  <c r="U58" i="25"/>
  <c r="F58" i="25" s="1"/>
  <c r="T58" i="25"/>
  <c r="S58" i="25"/>
  <c r="O58" i="25"/>
  <c r="M58" i="25"/>
  <c r="K58" i="25"/>
  <c r="I58" i="25"/>
  <c r="S57" i="25"/>
  <c r="R57" i="25"/>
  <c r="P57" i="25"/>
  <c r="Q57" i="25" s="1"/>
  <c r="N57" i="25"/>
  <c r="O57" i="25" s="1"/>
  <c r="L57" i="25"/>
  <c r="M57" i="25" s="1"/>
  <c r="K57" i="25"/>
  <c r="J57" i="25"/>
  <c r="H57" i="25"/>
  <c r="I57" i="25" s="1"/>
  <c r="T56" i="25"/>
  <c r="S56" i="25"/>
  <c r="Q56" i="25"/>
  <c r="O56" i="25"/>
  <c r="M56" i="25"/>
  <c r="K56" i="25"/>
  <c r="I56" i="25"/>
  <c r="U56" i="25" s="1"/>
  <c r="F56" i="25" s="1"/>
  <c r="T55" i="25"/>
  <c r="S55" i="25"/>
  <c r="Q55" i="25"/>
  <c r="O55" i="25"/>
  <c r="M55" i="25"/>
  <c r="K55" i="25"/>
  <c r="U55" i="25" s="1"/>
  <c r="F55" i="25" s="1"/>
  <c r="I55" i="25"/>
  <c r="U54" i="25"/>
  <c r="T54" i="25"/>
  <c r="S54" i="25"/>
  <c r="Q54" i="25"/>
  <c r="O54" i="25"/>
  <c r="M54" i="25"/>
  <c r="K54" i="25"/>
  <c r="I54" i="25"/>
  <c r="F54" i="25"/>
  <c r="U53" i="25"/>
  <c r="F53" i="25" s="1"/>
  <c r="T53" i="25"/>
  <c r="S53" i="25"/>
  <c r="Q53" i="25"/>
  <c r="O53" i="25"/>
  <c r="M53" i="25"/>
  <c r="K53" i="25"/>
  <c r="I53" i="25"/>
  <c r="R52" i="25"/>
  <c r="S52" i="25" s="1"/>
  <c r="P52" i="25"/>
  <c r="Q52" i="25" s="1"/>
  <c r="N52" i="25"/>
  <c r="O52" i="25" s="1"/>
  <c r="M52" i="25"/>
  <c r="L52" i="25"/>
  <c r="J52" i="25"/>
  <c r="K52" i="25" s="1"/>
  <c r="H52" i="25"/>
  <c r="T52" i="25" s="1"/>
  <c r="U51" i="25"/>
  <c r="F51" i="25" s="1"/>
  <c r="T51" i="25"/>
  <c r="S51" i="25"/>
  <c r="K51" i="25"/>
  <c r="I51" i="25"/>
  <c r="T50" i="25"/>
  <c r="Q50" i="25"/>
  <c r="K50" i="25"/>
  <c r="I50" i="25"/>
  <c r="U50" i="25" s="1"/>
  <c r="F50" i="25" s="1"/>
  <c r="R49" i="25"/>
  <c r="S49" i="25" s="1"/>
  <c r="P49" i="25"/>
  <c r="Q49" i="25" s="1"/>
  <c r="O49" i="25"/>
  <c r="N49" i="25"/>
  <c r="L49" i="25"/>
  <c r="M49" i="25" s="1"/>
  <c r="J49" i="25"/>
  <c r="K49" i="25" s="1"/>
  <c r="H49" i="25"/>
  <c r="I49" i="25" s="1"/>
  <c r="U49" i="25" s="1"/>
  <c r="U48" i="25"/>
  <c r="T48" i="25"/>
  <c r="Q48" i="25"/>
  <c r="K48" i="25"/>
  <c r="I48" i="25"/>
  <c r="T47" i="25"/>
  <c r="S47" i="25"/>
  <c r="R47" i="25"/>
  <c r="P47" i="25"/>
  <c r="Q47" i="25" s="1"/>
  <c r="O47" i="25"/>
  <c r="N47" i="25"/>
  <c r="L47" i="25"/>
  <c r="M47" i="25" s="1"/>
  <c r="K47" i="25"/>
  <c r="J47" i="25"/>
  <c r="H47" i="25"/>
  <c r="I47" i="25" s="1"/>
  <c r="U47" i="25" s="1"/>
  <c r="T46" i="25"/>
  <c r="O46" i="25"/>
  <c r="M46" i="25"/>
  <c r="K46" i="25"/>
  <c r="I46" i="25"/>
  <c r="U46" i="25" s="1"/>
  <c r="T45" i="25"/>
  <c r="O45" i="25"/>
  <c r="M45" i="25"/>
  <c r="K45" i="25"/>
  <c r="I45" i="25"/>
  <c r="U45" i="25" s="1"/>
  <c r="R44" i="25"/>
  <c r="S44" i="25" s="1"/>
  <c r="Q44" i="25"/>
  <c r="P44" i="25"/>
  <c r="N44" i="25"/>
  <c r="O44" i="25" s="1"/>
  <c r="M44" i="25"/>
  <c r="L44" i="25"/>
  <c r="T44" i="25" s="1"/>
  <c r="J44" i="25"/>
  <c r="K44" i="25" s="1"/>
  <c r="U44" i="25" s="1"/>
  <c r="I44" i="25"/>
  <c r="H44" i="25"/>
  <c r="T43" i="25"/>
  <c r="O43" i="25"/>
  <c r="K43" i="25"/>
  <c r="U43" i="25" s="1"/>
  <c r="I43" i="25"/>
  <c r="T42" i="25"/>
  <c r="M42" i="25"/>
  <c r="K42" i="25"/>
  <c r="I42" i="25"/>
  <c r="U42" i="25" s="1"/>
  <c r="U41" i="25"/>
  <c r="Q41" i="25"/>
  <c r="T40" i="25"/>
  <c r="S40" i="25"/>
  <c r="S39" i="25"/>
  <c r="S41" i="25" s="1"/>
  <c r="U38" i="25"/>
  <c r="T38" i="25"/>
  <c r="T41" i="25" s="1"/>
  <c r="U37" i="25"/>
  <c r="T37" i="25"/>
  <c r="T36" i="25"/>
  <c r="Q36" i="25"/>
  <c r="S35" i="25"/>
  <c r="U35" i="25" s="1"/>
  <c r="S34" i="25"/>
  <c r="S36" i="25" s="1"/>
  <c r="U32" i="25"/>
  <c r="U36" i="25" s="1"/>
  <c r="T32" i="25"/>
  <c r="R31" i="25"/>
  <c r="Q31" i="25"/>
  <c r="P31" i="25"/>
  <c r="N31" i="25"/>
  <c r="U30" i="25"/>
  <c r="T30" i="25"/>
  <c r="Q30" i="25"/>
  <c r="U29" i="25"/>
  <c r="T29" i="25"/>
  <c r="Q29" i="25"/>
  <c r="T28" i="25"/>
  <c r="S28" i="25"/>
  <c r="U28" i="25" s="1"/>
  <c r="O28" i="25"/>
  <c r="T27" i="25"/>
  <c r="T31" i="25" s="1"/>
  <c r="S27" i="25"/>
  <c r="S31" i="25" s="1"/>
  <c r="O27" i="25"/>
  <c r="O31" i="25" s="1"/>
  <c r="S26" i="25"/>
  <c r="R26" i="25"/>
  <c r="Q26" i="25"/>
  <c r="P26" i="25"/>
  <c r="O26" i="25"/>
  <c r="N26" i="25"/>
  <c r="M26" i="25"/>
  <c r="L26" i="25"/>
  <c r="U25" i="25"/>
  <c r="T25" i="25"/>
  <c r="O25" i="25"/>
  <c r="U24" i="25"/>
  <c r="T24" i="25"/>
  <c r="O24" i="25"/>
  <c r="T23" i="25"/>
  <c r="T26" i="25" s="1"/>
  <c r="O23" i="25"/>
  <c r="U23" i="25" s="1"/>
  <c r="U26" i="25" s="1"/>
  <c r="S22" i="25"/>
  <c r="R22" i="25"/>
  <c r="Q22" i="25"/>
  <c r="P22" i="25"/>
  <c r="N22" i="25"/>
  <c r="L22" i="25"/>
  <c r="J22" i="25"/>
  <c r="U21" i="25"/>
  <c r="T21" i="25"/>
  <c r="M21" i="25"/>
  <c r="M20" i="25"/>
  <c r="M22" i="25" s="1"/>
  <c r="T19" i="25"/>
  <c r="K19" i="25"/>
  <c r="K22" i="25" s="1"/>
  <c r="U18" i="25"/>
  <c r="T18" i="25"/>
  <c r="T22" i="25" s="1"/>
  <c r="O18" i="25"/>
  <c r="O22" i="25" s="1"/>
  <c r="K18" i="25"/>
  <c r="S17" i="25"/>
  <c r="R17" i="25"/>
  <c r="Q17" i="25"/>
  <c r="P17" i="25"/>
  <c r="K17" i="25"/>
  <c r="J17" i="25"/>
  <c r="U16" i="25"/>
  <c r="T16" i="25"/>
  <c r="M16" i="25"/>
  <c r="T15" i="25"/>
  <c r="U15" i="25" s="1"/>
  <c r="M15" i="25"/>
  <c r="U14" i="25"/>
  <c r="T14" i="25"/>
  <c r="M14" i="25"/>
  <c r="U13" i="25"/>
  <c r="T13" i="25"/>
  <c r="T12" i="25"/>
  <c r="T17" i="25" s="1"/>
  <c r="R11" i="25"/>
  <c r="S11" i="25" s="1"/>
  <c r="Q11" i="25"/>
  <c r="P11" i="25"/>
  <c r="N11" i="25"/>
  <c r="O11" i="25" s="1"/>
  <c r="M11" i="25"/>
  <c r="L11" i="25"/>
  <c r="J11" i="25"/>
  <c r="T11" i="25" s="1"/>
  <c r="I11" i="25"/>
  <c r="H11" i="25"/>
  <c r="U10" i="25"/>
  <c r="F10" i="25" s="1"/>
  <c r="T10" i="25"/>
  <c r="S10" i="25"/>
  <c r="Q10" i="25"/>
  <c r="O10" i="25"/>
  <c r="M10" i="25"/>
  <c r="K10" i="25"/>
  <c r="I10" i="25"/>
  <c r="U9" i="25"/>
  <c r="F9" i="25" s="1"/>
  <c r="S9" i="25"/>
  <c r="Q9" i="25"/>
  <c r="O9" i="25"/>
  <c r="M9" i="25"/>
  <c r="K9" i="25"/>
  <c r="I9" i="25"/>
  <c r="O98" i="24"/>
  <c r="N98" i="24"/>
  <c r="M98" i="24"/>
  <c r="L98" i="24"/>
  <c r="T97" i="24"/>
  <c r="U95" i="24"/>
  <c r="U98" i="24" s="1"/>
  <c r="T95" i="24"/>
  <c r="T98" i="24" s="1"/>
  <c r="O94" i="24"/>
  <c r="N94" i="24"/>
  <c r="M94" i="24"/>
  <c r="L94" i="24"/>
  <c r="T93" i="24"/>
  <c r="S93" i="24"/>
  <c r="U93" i="24" s="1"/>
  <c r="U92" i="24"/>
  <c r="T92" i="24"/>
  <c r="U91" i="24"/>
  <c r="T91" i="24"/>
  <c r="U90" i="24"/>
  <c r="T90" i="24"/>
  <c r="T88" i="24"/>
  <c r="S88" i="24"/>
  <c r="U88" i="24" s="1"/>
  <c r="T87" i="24"/>
  <c r="S87" i="24"/>
  <c r="U87" i="24" s="1"/>
  <c r="U86" i="24"/>
  <c r="T86" i="24"/>
  <c r="U85" i="24"/>
  <c r="T85" i="24"/>
  <c r="U83" i="24"/>
  <c r="T83" i="24"/>
  <c r="U82" i="24"/>
  <c r="T82" i="24"/>
  <c r="U81" i="24"/>
  <c r="T81" i="24"/>
  <c r="U80" i="24"/>
  <c r="T80" i="24"/>
  <c r="U79" i="24"/>
  <c r="T79" i="24"/>
  <c r="U77" i="24"/>
  <c r="T77" i="24"/>
  <c r="U76" i="24"/>
  <c r="T76" i="24"/>
  <c r="U75" i="24"/>
  <c r="T75" i="24"/>
  <c r="U74" i="24"/>
  <c r="T74" i="24"/>
  <c r="U69" i="24"/>
  <c r="T69" i="24"/>
  <c r="P61" i="24"/>
  <c r="Q58" i="24"/>
  <c r="Q57" i="24"/>
  <c r="U56" i="24"/>
  <c r="T56" i="24"/>
  <c r="S53" i="24"/>
  <c r="R53" i="24"/>
  <c r="Q53" i="24"/>
  <c r="P53" i="24"/>
  <c r="O53" i="24"/>
  <c r="N53" i="24"/>
  <c r="M53" i="24"/>
  <c r="L53" i="24"/>
  <c r="U47" i="24"/>
  <c r="U53" i="24" s="1"/>
  <c r="T47" i="24"/>
  <c r="T53" i="24" s="1"/>
  <c r="O46" i="24"/>
  <c r="N46" i="24"/>
  <c r="M46" i="24"/>
  <c r="L46" i="24"/>
  <c r="U44" i="24"/>
  <c r="U46" i="24" s="1"/>
  <c r="T44" i="24"/>
  <c r="T46" i="24" s="1"/>
  <c r="S42" i="24"/>
  <c r="S41" i="24"/>
  <c r="U39" i="24"/>
  <c r="T39" i="24"/>
  <c r="T38" i="24"/>
  <c r="Q38" i="24"/>
  <c r="S37" i="24"/>
  <c r="S36" i="24"/>
  <c r="S38" i="24" s="1"/>
  <c r="U34" i="24"/>
  <c r="T34" i="24"/>
  <c r="R33" i="24"/>
  <c r="P33" i="24"/>
  <c r="N33" i="24"/>
  <c r="U32" i="24"/>
  <c r="T32" i="24"/>
  <c r="Q32" i="24"/>
  <c r="T31" i="24"/>
  <c r="Q31" i="24"/>
  <c r="Q33" i="24" s="1"/>
  <c r="T30" i="24"/>
  <c r="S30" i="24"/>
  <c r="O30" i="24"/>
  <c r="O33" i="24" s="1"/>
  <c r="T29" i="24"/>
  <c r="S29" i="24"/>
  <c r="O29" i="24"/>
  <c r="S28" i="24"/>
  <c r="R28" i="24"/>
  <c r="Q28" i="24"/>
  <c r="P28" i="24"/>
  <c r="N28" i="24"/>
  <c r="M28" i="24"/>
  <c r="L28" i="24"/>
  <c r="T27" i="24"/>
  <c r="O27" i="24"/>
  <c r="U27" i="24" s="1"/>
  <c r="T26" i="24"/>
  <c r="O26" i="24"/>
  <c r="U26" i="24" s="1"/>
  <c r="T25" i="24"/>
  <c r="T28" i="24" s="1"/>
  <c r="O25" i="24"/>
  <c r="U25" i="24" s="1"/>
  <c r="S24" i="24"/>
  <c r="R24" i="24"/>
  <c r="Q24" i="24"/>
  <c r="P24" i="24"/>
  <c r="N24" i="24"/>
  <c r="L24" i="24"/>
  <c r="J24" i="24"/>
  <c r="T23" i="24"/>
  <c r="M23" i="24"/>
  <c r="U23" i="24" s="1"/>
  <c r="M22" i="24"/>
  <c r="T21" i="24"/>
  <c r="K21" i="24"/>
  <c r="U21" i="24" s="1"/>
  <c r="T20" i="24"/>
  <c r="O20" i="24"/>
  <c r="K20" i="24"/>
  <c r="K24" i="24" s="1"/>
  <c r="S19" i="24"/>
  <c r="R19" i="24"/>
  <c r="Q19" i="24"/>
  <c r="P19" i="24"/>
  <c r="K19" i="24"/>
  <c r="J19" i="24"/>
  <c r="T18" i="24"/>
  <c r="U18" i="24" s="1"/>
  <c r="M18" i="24"/>
  <c r="T17" i="24"/>
  <c r="U17" i="24" s="1"/>
  <c r="M17" i="24"/>
  <c r="T16" i="24"/>
  <c r="U16" i="24" s="1"/>
  <c r="M16" i="24"/>
  <c r="T15" i="24"/>
  <c r="U15" i="24" s="1"/>
  <c r="T14" i="24"/>
  <c r="R13" i="24"/>
  <c r="P13" i="24"/>
  <c r="O13" i="24"/>
  <c r="N13" i="24"/>
  <c r="M13" i="24"/>
  <c r="L13" i="24"/>
  <c r="K13" i="24"/>
  <c r="J13" i="24"/>
  <c r="I13" i="24"/>
  <c r="H13" i="24"/>
  <c r="U12" i="24"/>
  <c r="T12" i="24"/>
  <c r="U11" i="24"/>
  <c r="T11" i="24"/>
  <c r="T10" i="24"/>
  <c r="T13" i="24" s="1"/>
  <c r="S10" i="24"/>
  <c r="Q10" i="24"/>
  <c r="I10" i="24"/>
  <c r="T9" i="24"/>
  <c r="S9" i="24"/>
  <c r="Q9" i="24"/>
  <c r="I9" i="24"/>
  <c r="U9" i="24" s="1"/>
  <c r="R79" i="14"/>
  <c r="P79" i="14"/>
  <c r="T78" i="14"/>
  <c r="U78" i="14" s="1"/>
  <c r="S78" i="14"/>
  <c r="Q78" i="14"/>
  <c r="U77" i="14"/>
  <c r="T77" i="14"/>
  <c r="S77" i="14"/>
  <c r="Q77" i="14"/>
  <c r="T76" i="14"/>
  <c r="U76" i="14" s="1"/>
  <c r="S76" i="14"/>
  <c r="S79" i="14" s="1"/>
  <c r="Q76" i="14"/>
  <c r="U75" i="14"/>
  <c r="U79" i="14" s="1"/>
  <c r="T75" i="14"/>
  <c r="T79" i="14" s="1"/>
  <c r="S75" i="14"/>
  <c r="Q75" i="14"/>
  <c r="Q79" i="14" s="1"/>
  <c r="T74" i="14"/>
  <c r="R74" i="14"/>
  <c r="P74" i="14"/>
  <c r="T73" i="14"/>
  <c r="U73" i="14" s="1"/>
  <c r="S73" i="14"/>
  <c r="Q73" i="14"/>
  <c r="U72" i="14"/>
  <c r="T72" i="14"/>
  <c r="S72" i="14"/>
  <c r="Q72" i="14"/>
  <c r="T71" i="14"/>
  <c r="U71" i="14" s="1"/>
  <c r="S71" i="14"/>
  <c r="Q71" i="14"/>
  <c r="Q74" i="14" s="1"/>
  <c r="U70" i="14"/>
  <c r="T70" i="14"/>
  <c r="S70" i="14"/>
  <c r="S74" i="14" s="1"/>
  <c r="Q70" i="14"/>
  <c r="S69" i="14"/>
  <c r="R69" i="14"/>
  <c r="Q69" i="14"/>
  <c r="P69" i="14"/>
  <c r="O69" i="14"/>
  <c r="N69" i="14"/>
  <c r="T68" i="14"/>
  <c r="U68" i="14" s="1"/>
  <c r="T67" i="14"/>
  <c r="U67" i="14" s="1"/>
  <c r="U66" i="14"/>
  <c r="T66" i="14"/>
  <c r="U65" i="14"/>
  <c r="T65" i="14"/>
  <c r="S64" i="14"/>
  <c r="R64" i="14"/>
  <c r="Q64" i="14"/>
  <c r="P64" i="14"/>
  <c r="N64" i="14"/>
  <c r="M64" i="14"/>
  <c r="L64" i="14"/>
  <c r="K64" i="14"/>
  <c r="J64" i="14"/>
  <c r="U63" i="14"/>
  <c r="T63" i="14"/>
  <c r="O63" i="14"/>
  <c r="O64" i="14" s="1"/>
  <c r="U62" i="14"/>
  <c r="T62" i="14"/>
  <c r="T61" i="14"/>
  <c r="T64" i="14" s="1"/>
  <c r="U60" i="14"/>
  <c r="T60" i="14"/>
  <c r="L59" i="14"/>
  <c r="J59" i="14"/>
  <c r="U58" i="14"/>
  <c r="T58" i="14"/>
  <c r="M58" i="14"/>
  <c r="K58" i="14"/>
  <c r="U57" i="14"/>
  <c r="T57" i="14"/>
  <c r="M57" i="14"/>
  <c r="K57" i="14"/>
  <c r="U56" i="14"/>
  <c r="T56" i="14"/>
  <c r="T59" i="14" s="1"/>
  <c r="M56" i="14"/>
  <c r="K56" i="14"/>
  <c r="T54" i="14"/>
  <c r="U54" i="14" s="1"/>
  <c r="U59" i="14" s="1"/>
  <c r="M54" i="14"/>
  <c r="M59" i="14" s="1"/>
  <c r="K54" i="14"/>
  <c r="K59" i="14" s="1"/>
  <c r="U53" i="14"/>
  <c r="Q53" i="14"/>
  <c r="T52" i="14"/>
  <c r="S52" i="14"/>
  <c r="S51" i="14"/>
  <c r="S53" i="14" s="1"/>
  <c r="U50" i="14"/>
  <c r="T50" i="14"/>
  <c r="T53" i="14" s="1"/>
  <c r="U49" i="14"/>
  <c r="T49" i="14"/>
  <c r="Q48" i="14"/>
  <c r="S47" i="14"/>
  <c r="U47" i="14" s="1"/>
  <c r="U48" i="14" s="1"/>
  <c r="S46" i="14"/>
  <c r="S48" i="14" s="1"/>
  <c r="U44" i="14"/>
  <c r="T44" i="14"/>
  <c r="T48" i="14" s="1"/>
  <c r="R43" i="14"/>
  <c r="Q43" i="14"/>
  <c r="P43" i="14"/>
  <c r="N43" i="14"/>
  <c r="T42" i="14"/>
  <c r="Q42" i="14"/>
  <c r="U42" i="14" s="1"/>
  <c r="U41" i="14"/>
  <c r="T41" i="14"/>
  <c r="Q41" i="14"/>
  <c r="T40" i="14"/>
  <c r="S40" i="14"/>
  <c r="O40" i="14"/>
  <c r="U40" i="14" s="1"/>
  <c r="T39" i="14"/>
  <c r="T43" i="14" s="1"/>
  <c r="S39" i="14"/>
  <c r="S43" i="14" s="1"/>
  <c r="O39" i="14"/>
  <c r="O43" i="14" s="1"/>
  <c r="S38" i="14"/>
  <c r="R38" i="14"/>
  <c r="Q38" i="14"/>
  <c r="P38" i="14"/>
  <c r="O38" i="14"/>
  <c r="N38" i="14"/>
  <c r="M38" i="14"/>
  <c r="L38" i="14"/>
  <c r="T37" i="14"/>
  <c r="O37" i="14"/>
  <c r="U37" i="14" s="1"/>
  <c r="U36" i="14"/>
  <c r="T36" i="14"/>
  <c r="O36" i="14"/>
  <c r="T35" i="14"/>
  <c r="T38" i="14" s="1"/>
  <c r="O35" i="14"/>
  <c r="U35" i="14" s="1"/>
  <c r="S34" i="14"/>
  <c r="R34" i="14"/>
  <c r="Q34" i="14"/>
  <c r="P34" i="14"/>
  <c r="O34" i="14"/>
  <c r="N34" i="14"/>
  <c r="L34" i="14"/>
  <c r="J34" i="14"/>
  <c r="U33" i="14"/>
  <c r="T33" i="14"/>
  <c r="M33" i="14"/>
  <c r="M32" i="14"/>
  <c r="M34" i="14" s="1"/>
  <c r="T31" i="14"/>
  <c r="K31" i="14"/>
  <c r="K34" i="14" s="1"/>
  <c r="U30" i="14"/>
  <c r="T30" i="14"/>
  <c r="T34" i="14" s="1"/>
  <c r="O30" i="14"/>
  <c r="K30" i="14"/>
  <c r="S29" i="14"/>
  <c r="R29" i="14"/>
  <c r="Q29" i="14"/>
  <c r="P29" i="14"/>
  <c r="K29" i="14"/>
  <c r="J29" i="14"/>
  <c r="T28" i="14"/>
  <c r="U28" i="14" s="1"/>
  <c r="M28" i="14"/>
  <c r="T27" i="14"/>
  <c r="U27" i="14" s="1"/>
  <c r="M27" i="14"/>
  <c r="T26" i="14"/>
  <c r="U26" i="14" s="1"/>
  <c r="M26" i="14"/>
  <c r="T25" i="14"/>
  <c r="U25" i="14" s="1"/>
  <c r="T24" i="14"/>
  <c r="T29" i="14" s="1"/>
  <c r="R23" i="14"/>
  <c r="T22" i="14"/>
  <c r="U22" i="14" s="1"/>
  <c r="S22" i="14"/>
  <c r="S23" i="14" s="1"/>
  <c r="U21" i="14"/>
  <c r="U23" i="14" s="1"/>
  <c r="T21" i="14"/>
  <c r="T23" i="14" s="1"/>
  <c r="S21" i="14"/>
  <c r="N20" i="14"/>
  <c r="L20" i="14"/>
  <c r="T19" i="14"/>
  <c r="U19" i="14" s="1"/>
  <c r="O19" i="14"/>
  <c r="T18" i="14"/>
  <c r="U18" i="14" s="1"/>
  <c r="O18" i="14"/>
  <c r="M18" i="14"/>
  <c r="T17" i="14"/>
  <c r="U17" i="14" s="1"/>
  <c r="O17" i="14"/>
  <c r="M17" i="14"/>
  <c r="T15" i="14"/>
  <c r="U15" i="14" s="1"/>
  <c r="O15" i="14"/>
  <c r="O20" i="14" s="1"/>
  <c r="M15" i="14"/>
  <c r="T14" i="14"/>
  <c r="T20" i="14" s="1"/>
  <c r="M14" i="14"/>
  <c r="M20" i="14" s="1"/>
  <c r="T11" i="14"/>
  <c r="T12" i="14"/>
  <c r="O12" i="14"/>
  <c r="M12" i="14"/>
  <c r="U12" i="14" s="1"/>
  <c r="O11" i="14"/>
  <c r="M11" i="14"/>
  <c r="U11" i="14" s="1"/>
  <c r="S10" i="14"/>
  <c r="Q10" i="14"/>
  <c r="O10" i="14"/>
  <c r="M10" i="14"/>
  <c r="K10" i="14"/>
  <c r="I10" i="14"/>
  <c r="S9" i="14"/>
  <c r="Q9" i="14"/>
  <c r="O9" i="14"/>
  <c r="M9" i="14"/>
  <c r="K9" i="14"/>
  <c r="I9" i="14"/>
  <c r="U70" i="25" l="1"/>
  <c r="U57" i="25"/>
  <c r="U65" i="25"/>
  <c r="T57" i="25"/>
  <c r="U12" i="25"/>
  <c r="U17" i="25" s="1"/>
  <c r="K65" i="25"/>
  <c r="U27" i="25"/>
  <c r="U31" i="25" s="1"/>
  <c r="U19" i="25"/>
  <c r="U22" i="25" s="1"/>
  <c r="I52" i="25"/>
  <c r="U52" i="25" s="1"/>
  <c r="I62" i="25"/>
  <c r="U62" i="25" s="1"/>
  <c r="I75" i="25"/>
  <c r="U75" i="25" s="1"/>
  <c r="T49" i="25"/>
  <c r="T70" i="25"/>
  <c r="K11" i="25"/>
  <c r="U11" i="25" s="1"/>
  <c r="Q13" i="24"/>
  <c r="Q61" i="24"/>
  <c r="T24" i="24"/>
  <c r="M24" i="24"/>
  <c r="T61" i="24"/>
  <c r="T33" i="24"/>
  <c r="U61" i="24"/>
  <c r="U30" i="24"/>
  <c r="T94" i="24"/>
  <c r="T19" i="24"/>
  <c r="U89" i="24"/>
  <c r="U20" i="24"/>
  <c r="U24" i="24" s="1"/>
  <c r="S13" i="24"/>
  <c r="U94" i="24"/>
  <c r="T78" i="24"/>
  <c r="U10" i="24"/>
  <c r="U13" i="24" s="1"/>
  <c r="U31" i="24"/>
  <c r="T43" i="24"/>
  <c r="U84" i="24"/>
  <c r="T84" i="24"/>
  <c r="U28" i="24"/>
  <c r="S33" i="24"/>
  <c r="U38" i="24"/>
  <c r="U43" i="24"/>
  <c r="T89" i="24"/>
  <c r="O24" i="24"/>
  <c r="O28" i="24"/>
  <c r="U14" i="24"/>
  <c r="U19" i="24" s="1"/>
  <c r="U29" i="24"/>
  <c r="U69" i="14"/>
  <c r="U74" i="14"/>
  <c r="U38" i="14"/>
  <c r="U34" i="14"/>
  <c r="U24" i="14"/>
  <c r="U29" i="14" s="1"/>
  <c r="U61" i="14"/>
  <c r="U64" i="14" s="1"/>
  <c r="T69" i="14"/>
  <c r="U31" i="14"/>
  <c r="U39" i="14"/>
  <c r="U43" i="14" s="1"/>
  <c r="U14" i="14"/>
  <c r="U20" i="14" s="1"/>
  <c r="W44" i="22"/>
  <c r="W45" i="22"/>
  <c r="J44" i="22"/>
  <c r="S67" i="22"/>
  <c r="O67" i="22"/>
  <c r="K67" i="22"/>
  <c r="W66" i="22"/>
  <c r="W65" i="22"/>
  <c r="AA66" i="22" s="1"/>
  <c r="Y62" i="22"/>
  <c r="W62" i="22"/>
  <c r="Y60" i="22"/>
  <c r="U60" i="22"/>
  <c r="S60" i="22"/>
  <c r="Q60" i="22"/>
  <c r="O60" i="22"/>
  <c r="M60" i="22"/>
  <c r="K60" i="22"/>
  <c r="I60" i="22"/>
  <c r="I61" i="22" s="1"/>
  <c r="H60" i="22"/>
  <c r="W59" i="22"/>
  <c r="W58" i="22"/>
  <c r="W57" i="22"/>
  <c r="W56" i="22"/>
  <c r="W55" i="22"/>
  <c r="W54" i="22"/>
  <c r="W53" i="22"/>
  <c r="W52" i="22"/>
  <c r="W51" i="22"/>
  <c r="W50" i="22"/>
  <c r="W49" i="22"/>
  <c r="W48" i="22"/>
  <c r="W47" i="22"/>
  <c r="W46" i="22"/>
  <c r="W43" i="22"/>
  <c r="J43" i="22"/>
  <c r="W42" i="22"/>
  <c r="J42" i="22"/>
  <c r="W41" i="22"/>
  <c r="J41" i="22"/>
  <c r="W40" i="22"/>
  <c r="J40" i="22"/>
  <c r="W39" i="22"/>
  <c r="J39" i="22"/>
  <c r="W38" i="22"/>
  <c r="J38" i="22"/>
  <c r="W37" i="22"/>
  <c r="W36" i="22"/>
  <c r="W35" i="22"/>
  <c r="Y34" i="22"/>
  <c r="U34" i="22"/>
  <c r="S34" i="22"/>
  <c r="Q34" i="22"/>
  <c r="O34" i="22"/>
  <c r="M34" i="22"/>
  <c r="K34" i="22"/>
  <c r="H34" i="22"/>
  <c r="H61" i="22" s="1"/>
  <c r="J32" i="22"/>
  <c r="W31" i="22"/>
  <c r="J31" i="22"/>
  <c r="J30" i="22"/>
  <c r="W29" i="22"/>
  <c r="J29" i="22"/>
  <c r="W28" i="22"/>
  <c r="J28" i="22"/>
  <c r="W27" i="22"/>
  <c r="J27" i="22"/>
  <c r="W26" i="22"/>
  <c r="J26" i="22"/>
  <c r="W25" i="22"/>
  <c r="J25" i="22"/>
  <c r="W24" i="22"/>
  <c r="J24" i="22"/>
  <c r="W23" i="22"/>
  <c r="W22" i="22"/>
  <c r="J22" i="22"/>
  <c r="W21" i="22"/>
  <c r="J21" i="22"/>
  <c r="W20" i="22"/>
  <c r="J20" i="22"/>
  <c r="W19" i="22"/>
  <c r="J19" i="22"/>
  <c r="W18" i="22"/>
  <c r="J18" i="22"/>
  <c r="W17" i="22"/>
  <c r="J17" i="22"/>
  <c r="W16" i="22"/>
  <c r="J16" i="22"/>
  <c r="W15" i="22"/>
  <c r="J15" i="22"/>
  <c r="W14" i="22"/>
  <c r="J14" i="22"/>
  <c r="W13" i="22"/>
  <c r="J13" i="22"/>
  <c r="W12" i="22"/>
  <c r="J12" i="22"/>
  <c r="W11" i="22"/>
  <c r="J11" i="22"/>
  <c r="W10" i="22"/>
  <c r="J10" i="22"/>
  <c r="W9" i="22"/>
  <c r="J9" i="22"/>
  <c r="W46" i="21"/>
  <c r="W47" i="21"/>
  <c r="W48" i="21"/>
  <c r="W49" i="21"/>
  <c r="W50" i="21"/>
  <c r="W51" i="21"/>
  <c r="W52" i="21"/>
  <c r="W53" i="21"/>
  <c r="J38" i="21"/>
  <c r="J37" i="21"/>
  <c r="J36" i="21"/>
  <c r="S69" i="21"/>
  <c r="O69" i="21"/>
  <c r="K69" i="21"/>
  <c r="W69" i="21" s="1"/>
  <c r="W68" i="21"/>
  <c r="W67" i="21"/>
  <c r="AA68" i="21" s="1"/>
  <c r="Y64" i="21"/>
  <c r="W64" i="21"/>
  <c r="Y62" i="21"/>
  <c r="U62" i="21"/>
  <c r="S62" i="21"/>
  <c r="Q62" i="21"/>
  <c r="O62" i="21"/>
  <c r="M62" i="21"/>
  <c r="K62" i="21"/>
  <c r="I62" i="21"/>
  <c r="I63" i="21" s="1"/>
  <c r="H62" i="21"/>
  <c r="W61" i="21"/>
  <c r="W60" i="21"/>
  <c r="W59" i="21"/>
  <c r="W58" i="21"/>
  <c r="W57" i="21"/>
  <c r="W56" i="21"/>
  <c r="W55" i="21"/>
  <c r="W54" i="21"/>
  <c r="W45" i="21"/>
  <c r="J45" i="21"/>
  <c r="W44" i="21"/>
  <c r="J44" i="21"/>
  <c r="W43" i="21"/>
  <c r="J43" i="21"/>
  <c r="W42" i="21"/>
  <c r="J42" i="21"/>
  <c r="W41" i="21"/>
  <c r="J41" i="21"/>
  <c r="W40" i="21"/>
  <c r="J40" i="21"/>
  <c r="W39" i="21"/>
  <c r="J39" i="21"/>
  <c r="W38" i="21"/>
  <c r="W37" i="21"/>
  <c r="W36" i="21"/>
  <c r="W35" i="21"/>
  <c r="Y34" i="21"/>
  <c r="U34" i="21"/>
  <c r="U63" i="21" s="1"/>
  <c r="S34" i="21"/>
  <c r="Q34" i="21"/>
  <c r="O34" i="21"/>
  <c r="M34" i="21"/>
  <c r="K34" i="21"/>
  <c r="H34" i="21"/>
  <c r="H63" i="21" s="1"/>
  <c r="J32" i="21"/>
  <c r="W31" i="21"/>
  <c r="J31" i="21"/>
  <c r="J30" i="21"/>
  <c r="W29" i="21"/>
  <c r="J29" i="21"/>
  <c r="W28" i="21"/>
  <c r="J28" i="21"/>
  <c r="W27" i="21"/>
  <c r="J27" i="21"/>
  <c r="W26" i="21"/>
  <c r="J26" i="21"/>
  <c r="W25" i="21"/>
  <c r="J25" i="21"/>
  <c r="W24" i="21"/>
  <c r="J24" i="21"/>
  <c r="W23" i="21"/>
  <c r="J23" i="21"/>
  <c r="W22" i="21"/>
  <c r="J22" i="21"/>
  <c r="W21" i="21"/>
  <c r="J21" i="21"/>
  <c r="W20" i="21"/>
  <c r="J20" i="21"/>
  <c r="W19" i="21"/>
  <c r="J19" i="21"/>
  <c r="W18" i="21"/>
  <c r="J18" i="21"/>
  <c r="W17" i="21"/>
  <c r="J17" i="21"/>
  <c r="W16" i="21"/>
  <c r="J16" i="21"/>
  <c r="W15" i="21"/>
  <c r="J15" i="21"/>
  <c r="W14" i="21"/>
  <c r="J14" i="21"/>
  <c r="W13" i="21"/>
  <c r="J13" i="21"/>
  <c r="W12" i="21"/>
  <c r="J12" i="21"/>
  <c r="W11" i="21"/>
  <c r="J11" i="21"/>
  <c r="W10" i="21"/>
  <c r="J10" i="21"/>
  <c r="W9" i="21"/>
  <c r="J9" i="21"/>
  <c r="J47" i="20"/>
  <c r="J46" i="20"/>
  <c r="W46" i="20"/>
  <c r="W47" i="20"/>
  <c r="W62" i="20"/>
  <c r="W63" i="20"/>
  <c r="J63" i="20"/>
  <c r="J62" i="20"/>
  <c r="J61" i="20"/>
  <c r="J60" i="20"/>
  <c r="J59" i="20"/>
  <c r="J58" i="20"/>
  <c r="J57" i="20"/>
  <c r="J56" i="20"/>
  <c r="W55" i="20"/>
  <c r="W56" i="20"/>
  <c r="W57" i="20"/>
  <c r="W58" i="20"/>
  <c r="W59" i="20"/>
  <c r="W60" i="20"/>
  <c r="W61" i="20"/>
  <c r="J55" i="20"/>
  <c r="W54" i="20"/>
  <c r="J54" i="20"/>
  <c r="J53" i="20"/>
  <c r="J52" i="20"/>
  <c r="J51" i="20"/>
  <c r="J50" i="20"/>
  <c r="J49" i="20"/>
  <c r="J48" i="20"/>
  <c r="W38" i="20"/>
  <c r="W39" i="20"/>
  <c r="W22" i="20"/>
  <c r="J22" i="20"/>
  <c r="U33" i="24" l="1"/>
  <c r="X9" i="22"/>
  <c r="X14" i="22"/>
  <c r="S61" i="22"/>
  <c r="X17" i="22"/>
  <c r="O61" i="22"/>
  <c r="Q61" i="22"/>
  <c r="X12" i="22"/>
  <c r="U61" i="22"/>
  <c r="X19" i="22"/>
  <c r="X24" i="22"/>
  <c r="M61" i="22"/>
  <c r="Y61" i="22"/>
  <c r="W67" i="22"/>
  <c r="X21" i="22"/>
  <c r="W60" i="22"/>
  <c r="W34" i="22"/>
  <c r="AA34" i="22" s="1"/>
  <c r="J34" i="22"/>
  <c r="J61" i="22" s="1"/>
  <c r="K61" i="22"/>
  <c r="Y66" i="22"/>
  <c r="AA68" i="22" s="1"/>
  <c r="X12" i="21"/>
  <c r="X9" i="21"/>
  <c r="X17" i="21"/>
  <c r="X21" i="21"/>
  <c r="Q63" i="21"/>
  <c r="Y63" i="21"/>
  <c r="S63" i="21"/>
  <c r="X24" i="21"/>
  <c r="M63" i="21"/>
  <c r="O63" i="21"/>
  <c r="X14" i="21"/>
  <c r="X19" i="21"/>
  <c r="W62" i="21"/>
  <c r="W34" i="21"/>
  <c r="AA34" i="21" s="1"/>
  <c r="J34" i="21"/>
  <c r="J63" i="21" s="1"/>
  <c r="Y68" i="21"/>
  <c r="AA70" i="21" s="1"/>
  <c r="K63" i="21"/>
  <c r="W61" i="22" l="1"/>
  <c r="AA63" i="22" s="1"/>
  <c r="W63" i="21"/>
  <c r="AA65" i="21" s="1"/>
  <c r="S71" i="20" l="1"/>
  <c r="O71" i="20"/>
  <c r="K71" i="20"/>
  <c r="W70" i="20"/>
  <c r="W69" i="20"/>
  <c r="AA70" i="20" s="1"/>
  <c r="Y66" i="20"/>
  <c r="W66" i="20"/>
  <c r="Y64" i="20"/>
  <c r="U64" i="20"/>
  <c r="S64" i="20"/>
  <c r="Q64" i="20"/>
  <c r="O64" i="20"/>
  <c r="M64" i="20"/>
  <c r="K64" i="20"/>
  <c r="I64" i="20"/>
  <c r="I65" i="20" s="1"/>
  <c r="H64" i="20"/>
  <c r="W53" i="20"/>
  <c r="W52" i="20"/>
  <c r="W51" i="20"/>
  <c r="W50" i="20"/>
  <c r="W49" i="20"/>
  <c r="W48" i="20"/>
  <c r="W45" i="20"/>
  <c r="J45" i="20"/>
  <c r="W44" i="20"/>
  <c r="J44" i="20"/>
  <c r="W43" i="20"/>
  <c r="J43" i="20"/>
  <c r="W42" i="20"/>
  <c r="J42" i="20"/>
  <c r="W41" i="20"/>
  <c r="J41" i="20"/>
  <c r="W40" i="20"/>
  <c r="J40" i="20"/>
  <c r="W37" i="20"/>
  <c r="W36" i="20"/>
  <c r="W35" i="20"/>
  <c r="Y34" i="20"/>
  <c r="U34" i="20"/>
  <c r="S34" i="20"/>
  <c r="Q34" i="20"/>
  <c r="O34" i="20"/>
  <c r="M34" i="20"/>
  <c r="K34" i="20"/>
  <c r="H34" i="20"/>
  <c r="H65" i="20" s="1"/>
  <c r="J33" i="20"/>
  <c r="J32" i="20"/>
  <c r="W31" i="20"/>
  <c r="J31" i="20"/>
  <c r="J30" i="20"/>
  <c r="W29" i="20"/>
  <c r="J29" i="20"/>
  <c r="W28" i="20"/>
  <c r="J28" i="20"/>
  <c r="W27" i="20"/>
  <c r="J27" i="20"/>
  <c r="W26" i="20"/>
  <c r="J26" i="20"/>
  <c r="W25" i="20"/>
  <c r="J25" i="20"/>
  <c r="W24" i="20"/>
  <c r="J24" i="20"/>
  <c r="W23" i="20"/>
  <c r="J23" i="20"/>
  <c r="W21" i="20"/>
  <c r="J21" i="20"/>
  <c r="W20" i="20"/>
  <c r="J20" i="20"/>
  <c r="W19" i="20"/>
  <c r="J19" i="20"/>
  <c r="W18" i="20"/>
  <c r="J18" i="20"/>
  <c r="W17" i="20"/>
  <c r="J17" i="20"/>
  <c r="W16" i="20"/>
  <c r="J16" i="20"/>
  <c r="W15" i="20"/>
  <c r="J15" i="20"/>
  <c r="W14" i="20"/>
  <c r="J14" i="20"/>
  <c r="W13" i="20"/>
  <c r="J13" i="20"/>
  <c r="W12" i="20"/>
  <c r="J12" i="20"/>
  <c r="W11" i="20"/>
  <c r="J11" i="20"/>
  <c r="W10" i="20"/>
  <c r="J10" i="20"/>
  <c r="W9" i="20"/>
  <c r="J9" i="20"/>
  <c r="U52" i="17"/>
  <c r="W52" i="17" s="1"/>
  <c r="S52" i="17"/>
  <c r="Q52" i="17"/>
  <c r="O52" i="17"/>
  <c r="M52" i="17"/>
  <c r="K52" i="17"/>
  <c r="W45" i="17"/>
  <c r="W46" i="17"/>
  <c r="W47" i="17"/>
  <c r="W48" i="17"/>
  <c r="W49" i="17"/>
  <c r="W50" i="17"/>
  <c r="W51" i="17"/>
  <c r="J45" i="17"/>
  <c r="J46" i="17"/>
  <c r="J47" i="17"/>
  <c r="J48" i="17"/>
  <c r="J49" i="17"/>
  <c r="J50" i="17"/>
  <c r="J51" i="17"/>
  <c r="W40" i="17"/>
  <c r="W41" i="17"/>
  <c r="W42" i="17"/>
  <c r="W43" i="17"/>
  <c r="W44" i="17"/>
  <c r="W39" i="17"/>
  <c r="W38" i="17"/>
  <c r="J40" i="17"/>
  <c r="J41" i="17"/>
  <c r="J42" i="17"/>
  <c r="J43" i="17"/>
  <c r="J44" i="17"/>
  <c r="J39" i="17"/>
  <c r="J38" i="17"/>
  <c r="J36" i="17"/>
  <c r="J37" i="17"/>
  <c r="J35" i="17"/>
  <c r="J34" i="17"/>
  <c r="H33" i="17"/>
  <c r="J30" i="17"/>
  <c r="J28" i="17"/>
  <c r="J26" i="17"/>
  <c r="J24" i="17"/>
  <c r="J22" i="17"/>
  <c r="J20" i="17"/>
  <c r="J18" i="17"/>
  <c r="J16" i="17"/>
  <c r="J14" i="17"/>
  <c r="J12" i="17"/>
  <c r="J10" i="17"/>
  <c r="J11" i="17"/>
  <c r="J13" i="17"/>
  <c r="J15" i="17"/>
  <c r="J17" i="17"/>
  <c r="J19" i="17"/>
  <c r="J21" i="17"/>
  <c r="J23" i="17"/>
  <c r="J25" i="17"/>
  <c r="J27" i="17"/>
  <c r="J29" i="17"/>
  <c r="J31" i="17"/>
  <c r="J32" i="17"/>
  <c r="J9" i="17"/>
  <c r="S59" i="17"/>
  <c r="O59" i="17"/>
  <c r="K59" i="17"/>
  <c r="W58" i="17"/>
  <c r="W57" i="17"/>
  <c r="AA58" i="17" s="1"/>
  <c r="Y54" i="17"/>
  <c r="W54" i="17"/>
  <c r="Y52" i="17"/>
  <c r="I52" i="17"/>
  <c r="I53" i="17" s="1"/>
  <c r="H52" i="17"/>
  <c r="W37" i="17"/>
  <c r="W36" i="17"/>
  <c r="W35" i="17"/>
  <c r="W34" i="17"/>
  <c r="Y33" i="17"/>
  <c r="U33" i="17"/>
  <c r="S33" i="17"/>
  <c r="Q33" i="17"/>
  <c r="O33" i="17"/>
  <c r="M33" i="17"/>
  <c r="K33" i="17"/>
  <c r="W30" i="17"/>
  <c r="W28" i="17"/>
  <c r="W27" i="17"/>
  <c r="W26" i="17"/>
  <c r="W25" i="17"/>
  <c r="W24" i="17"/>
  <c r="W23" i="17"/>
  <c r="W22" i="17"/>
  <c r="W21" i="17"/>
  <c r="W20" i="17"/>
  <c r="W19" i="17"/>
  <c r="W18" i="17"/>
  <c r="W17" i="17"/>
  <c r="W16" i="17"/>
  <c r="W15" i="17"/>
  <c r="W14" i="17"/>
  <c r="W13" i="17"/>
  <c r="W12" i="17"/>
  <c r="W11" i="17"/>
  <c r="W10" i="17"/>
  <c r="W9" i="17"/>
  <c r="U65" i="20" l="1"/>
  <c r="X12" i="20"/>
  <c r="S65" i="20"/>
  <c r="X24" i="20"/>
  <c r="M65" i="20"/>
  <c r="X9" i="20"/>
  <c r="X17" i="20"/>
  <c r="K65" i="20"/>
  <c r="Y65" i="20"/>
  <c r="Q65" i="20"/>
  <c r="W71" i="20"/>
  <c r="X21" i="20"/>
  <c r="W64" i="20"/>
  <c r="O65" i="20"/>
  <c r="X14" i="20"/>
  <c r="X19" i="20"/>
  <c r="J34" i="20"/>
  <c r="J65" i="20" s="1"/>
  <c r="W34" i="20"/>
  <c r="AA34" i="20" s="1"/>
  <c r="Y70" i="20"/>
  <c r="AA72" i="20" s="1"/>
  <c r="H53" i="17"/>
  <c r="U53" i="17"/>
  <c r="J33" i="17"/>
  <c r="X9" i="17"/>
  <c r="X17" i="17"/>
  <c r="Q53" i="17"/>
  <c r="S53" i="17"/>
  <c r="O53" i="17"/>
  <c r="X14" i="17"/>
  <c r="X21" i="17"/>
  <c r="X12" i="17"/>
  <c r="Y53" i="17"/>
  <c r="X23" i="17"/>
  <c r="W59" i="17"/>
  <c r="M53" i="17"/>
  <c r="X19" i="17"/>
  <c r="W33" i="17"/>
  <c r="AA33" i="17" s="1"/>
  <c r="K53" i="17"/>
  <c r="Y58" i="17"/>
  <c r="AA60" i="17" s="1"/>
  <c r="W65" i="20" l="1"/>
  <c r="AA67" i="20" s="1"/>
  <c r="J53" i="17"/>
  <c r="W53" i="17"/>
  <c r="AA55" i="17" s="1"/>
  <c r="T10" i="14" l="1"/>
  <c r="U10" i="14" l="1"/>
  <c r="T9" i="14"/>
  <c r="U9" i="14"/>
  <c r="H13" i="14"/>
  <c r="I13" i="14"/>
  <c r="J13" i="14"/>
  <c r="K13" i="14"/>
  <c r="L13" i="14"/>
  <c r="M13" i="14"/>
  <c r="N13" i="14"/>
  <c r="O13" i="14"/>
  <c r="P13" i="14"/>
  <c r="R13" i="14"/>
  <c r="Q13" i="14" l="1"/>
  <c r="S13" i="14"/>
  <c r="T13" i="14"/>
  <c r="U13" i="14"/>
  <c r="U75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J34" authorId="0" shapeId="0" xr:uid="{B05A10A5-9D39-4F9F-ABBE-8613EAB0B713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D48" authorId="1" shapeId="0" xr:uid="{74C17EE7-8C4F-431A-82EF-BC7E1BFBA3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보통교과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편성임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J52" authorId="0" shapeId="0" xr:uid="{30D4F266-485C-459F-9D58-722BD04ABDF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4" authorId="0" shapeId="0" xr:uid="{F8C730E0-3C84-4A34-AA20-E0EC006932FA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2" authorId="0" shapeId="0" xr:uid="{6DB7D128-7116-4485-9695-AD78A1D09B3F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0" authorId="0" shapeId="0" xr:uid="{113C406F-F714-4AC9-B704-35033DE28C4D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<sst xmlns="http://schemas.openxmlformats.org/spreadsheetml/2006/main" count="3036" uniqueCount="1003">
  <si>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</si>
  <si>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</si>
  <si>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</si>
  <si>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</si>
  <si>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</si>
  <si>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</si>
  <si>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</si>
  <si>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</si>
  <si>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</si>
  <si>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</si>
  <si>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</si>
  <si>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</si>
  <si>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</si>
  <si>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</si>
  <si>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</si>
  <si>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</si>
  <si>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</si>
  <si>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</si>
  <si>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</si>
  <si>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</si>
  <si>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</si>
  <si>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</si>
  <si>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</si>
  <si>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</si>
  <si>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</si>
  <si>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</si>
  <si>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</si>
  <si>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</si>
  <si>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</si>
  <si>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</si>
  <si>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</si>
  <si>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</si>
  <si>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</si>
  <si>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</si>
  <si>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</si>
  <si>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</si>
  <si>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</si>
  <si>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</si>
  <si>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</si>
  <si>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</si>
  <si>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</si>
  <si>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</si>
  <si>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</si>
  <si>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</si>
  <si>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</si>
  <si>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</si>
  <si>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</si>
  <si>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</si>
  <si>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</si>
  <si>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</si>
  <si>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</si>
  <si>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</si>
  <si>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</si>
  <si>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</si>
  <si>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</si>
  <si>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</si>
  <si>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</si>
  <si>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</si>
  <si>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</si>
  <si>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</si>
  <si>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</si>
  <si>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</si>
  <si>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</si>
  <si>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</si>
  <si>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</si>
  <si>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</si>
  <si>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</si>
  <si>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</si>
  <si>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</si>
  <si>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</si>
  <si>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</si>
  <si>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</si>
  <si>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</si>
  <si>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</si>
  <si>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</si>
  <si>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</si>
  <si>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</si>
  <si>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</si>
  <si>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</si>
  <si>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</si>
  <si>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</si>
  <si>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</si>
  <si>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</si>
  <si>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</si>
  <si>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</si>
  <si>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</si>
  <si>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</si>
  <si>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</si>
  <si>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</si>
  <si>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</si>
  <si>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</si>
  <si>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</si>
  <si>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</si>
  <si>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</si>
  <si>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</si>
  <si>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</si>
  <si>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</si>
  <si>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</si>
  <si>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</si>
  <si>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</si>
  <si>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</si>
  <si>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</si>
  <si>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</si>
  <si>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</si>
  <si>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</si>
  <si>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</si>
  <si>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</si>
  <si>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</si>
  <si>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</si>
  <si>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</si>
  <si>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</si>
  <si>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</si>
  <si>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</si>
  <si>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</si>
  <si>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</si>
  <si>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</si>
  <si>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</si>
  <si>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</si>
  <si>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</si>
  <si>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</si>
  <si>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</si>
  <si>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</si>
  <si>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</si>
  <si>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</si>
  <si>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</si>
  <si>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</si>
  <si>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</si>
  <si>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</si>
  <si>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</si>
  <si>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</si>
  <si>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</si>
  <si>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</si>
  <si>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</si>
  <si>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</si>
  <si>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</si>
  <si>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</si>
  <si>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</si>
  <si>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</si>
  <si>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</si>
  <si>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</si>
  <si>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</si>
  <si>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</si>
  <si>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</si>
  <si>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</si>
  <si>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</si>
  <si>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</si>
  <si>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</si>
  <si>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</si>
  <si>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</si>
  <si>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</si>
  <si>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기계</t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</si>
  <si>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</si>
  <si>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</si>
  <si>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</si>
  <si>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</si>
  <si>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전기·전자</t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</si>
  <si>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</si>
  <si>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</si>
  <si>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</si>
  <si>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</si>
  <si>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</si>
  <si>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</si>
  <si>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</si>
  <si>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</si>
  <si>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</si>
  <si>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</si>
  <si>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</si>
  <si>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</si>
  <si>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</si>
  <si>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</si>
  <si>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</si>
  <si>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</si>
  <si>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</si>
  <si>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</si>
  <si>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</si>
  <si>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</si>
  <si>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</si>
  <si>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</si>
  <si>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</si>
  <si>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</si>
  <si>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</si>
  <si>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</si>
  <si>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</si>
  <si>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</si>
  <si>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</si>
  <si>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</si>
  <si>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</si>
  <si>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</si>
  <si>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</si>
  <si>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</si>
  <si>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</si>
  <si>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</si>
  <si>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</si>
  <si>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</si>
  <si>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</si>
  <si>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</si>
  <si>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</si>
  <si>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</si>
  <si>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</si>
  <si>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</si>
  <si>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</si>
  <si>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</si>
  <si>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</si>
  <si>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</si>
  <si>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</si>
  <si>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</si>
  <si>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</si>
  <si>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</si>
  <si>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</si>
  <si>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</si>
  <si>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</si>
  <si>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</si>
  <si>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</si>
  <si>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</si>
  <si>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</si>
  <si>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</si>
  <si>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</si>
  <si>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</si>
  <si>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</si>
  <si>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</si>
  <si>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</si>
  <si>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</si>
  <si>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</si>
  <si>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</si>
  <si>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</si>
  <si>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</si>
  <si>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</si>
  <si>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</si>
  <si>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</si>
  <si>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</si>
  <si>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</si>
  <si>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</si>
  <si>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</si>
  <si>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</si>
  <si>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</si>
  <si>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</si>
  <si>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</si>
  <si>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</si>
  <si>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</si>
  <si>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</si>
  <si>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</si>
  <si>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</si>
  <si>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</si>
  <si>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</si>
  <si>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</si>
  <si>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</si>
  <si>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</si>
  <si>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</si>
  <si>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</si>
  <si>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</si>
  <si>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</si>
  <si>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</si>
  <si>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</si>
  <si>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</si>
  <si>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</si>
  <si>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</si>
  <si>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</si>
  <si>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</si>
  <si>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</si>
  <si>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</si>
  <si>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</si>
  <si>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</si>
  <si>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</si>
  <si>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</si>
  <si>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</si>
  <si>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</si>
  <si>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</si>
  <si>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</si>
  <si>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</si>
  <si>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</si>
  <si>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</si>
  <si>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</si>
  <si>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</si>
  <si>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</si>
  <si>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</si>
  <si>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</si>
  <si>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</si>
  <si>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</si>
  <si>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</si>
  <si>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</si>
  <si>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</si>
  <si>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</si>
  <si>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</si>
  <si>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</si>
  <si>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</si>
  <si>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</si>
  <si>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</si>
  <si>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</si>
  <si>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</si>
  <si>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</si>
  <si>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</si>
  <si>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</si>
  <si>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</si>
  <si>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</si>
  <si>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</si>
  <si>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</si>
  <si>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</si>
  <si>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</si>
  <si>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</si>
  <si>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</si>
  <si>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</si>
  <si>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</si>
  <si>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</si>
  <si>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</si>
  <si>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</si>
  <si>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</si>
  <si>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</si>
  <si>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</si>
  <si>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</si>
  <si>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</si>
  <si>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</si>
  <si>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</si>
  <si>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</si>
  <si>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</si>
  <si>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</si>
  <si>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</si>
  <si>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</si>
  <si>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</si>
  <si>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</si>
  <si>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</si>
  <si>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</si>
  <si>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</si>
  <si>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</si>
  <si>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</si>
  <si>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</si>
  <si>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</si>
  <si>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</si>
  <si>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</si>
  <si>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</si>
  <si>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</si>
  <si>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</si>
  <si>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</si>
  <si>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</si>
  <si>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</si>
  <si>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</si>
  <si>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</si>
  <si>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</si>
  <si>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</si>
  <si>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</si>
  <si>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</si>
  <si>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</si>
  <si>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</si>
  <si>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</si>
  <si>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</si>
  <si>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영어</t>
    <phoneticPr fontId="9" type="noConversion"/>
  </si>
  <si>
    <t>사회(역사/도덕 포함)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</si>
  <si>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</si>
  <si>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</si>
  <si>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</si>
  <si>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</si>
  <si>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</si>
  <si>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</si>
  <si>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</si>
  <si>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전공일반</t>
    <phoneticPr fontId="9" type="noConversion"/>
  </si>
  <si>
    <t>전공실무</t>
    <phoneticPr fontId="9" type="noConversion"/>
  </si>
  <si>
    <t>건축·토목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</si>
  <si>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</si>
  <si>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</si>
  <si>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</si>
  <si>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</si>
  <si>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</si>
  <si>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</si>
  <si>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</si>
  <si>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</si>
  <si>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</si>
  <si>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</si>
  <si>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</si>
  <si>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</si>
  <si>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</si>
  <si>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</si>
  <si>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</si>
  <si>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</si>
  <si>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</si>
  <si>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</si>
  <si>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</si>
  <si>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</si>
  <si>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</si>
  <si>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</si>
  <si>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</si>
  <si>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</si>
  <si>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</si>
  <si>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</si>
  <si>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</si>
  <si>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</si>
  <si>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</si>
  <si>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</si>
  <si>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</si>
  <si>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</si>
  <si>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</si>
  <si>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</si>
  <si>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</si>
  <si>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</si>
  <si>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</si>
  <si>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</si>
  <si>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</si>
  <si>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</si>
  <si>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</si>
  <si>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</si>
  <si>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</si>
  <si>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</si>
  <si>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</si>
  <si>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</si>
  <si>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</si>
  <si>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</si>
  <si>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</si>
  <si>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</si>
  <si>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</si>
  <si>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</si>
  <si>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</si>
  <si>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</si>
  <si>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</si>
  <si>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</si>
  <si>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</si>
  <si>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</si>
  <si>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</si>
  <si>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</si>
  <si>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</si>
  <si>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</si>
  <si>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</si>
  <si>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</si>
  <si>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</si>
  <si>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</si>
  <si>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</si>
  <si>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</si>
  <si>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</si>
  <si>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</si>
  <si>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</si>
  <si>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</si>
  <si>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</si>
  <si>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</si>
  <si>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</si>
  <si>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</si>
  <si>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</si>
  <si>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</si>
  <si>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</si>
  <si>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</si>
  <si>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</si>
  <si>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</si>
  <si>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</si>
  <si>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</si>
  <si>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</si>
  <si>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</si>
  <si>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</si>
  <si>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</si>
  <si>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</si>
  <si>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</si>
  <si>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</si>
  <si>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</si>
  <si>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</si>
  <si>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</si>
  <si>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</si>
  <si>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</si>
  <si>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</si>
  <si>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</si>
  <si>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</si>
  <si>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</si>
  <si>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</si>
  <si>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</si>
  <si>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</si>
  <si>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</si>
  <si>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</si>
  <si>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</si>
  <si>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</si>
  <si>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</si>
  <si>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</si>
  <si>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</si>
  <si>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</si>
  <si>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</si>
  <si>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</si>
  <si>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</si>
  <si>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</si>
  <si>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</si>
  <si>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</si>
  <si>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</si>
  <si>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</si>
  <si>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</si>
  <si>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</si>
  <si>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</si>
  <si>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</si>
  <si>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</si>
  <si>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</si>
  <si>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</si>
  <si>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</si>
  <si>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</si>
  <si>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</si>
  <si>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</si>
  <si>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</si>
  <si>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</si>
  <si>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</si>
  <si>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</si>
  <si>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</si>
  <si>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</si>
  <si>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</si>
  <si>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</si>
  <si>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</si>
  <si>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</si>
  <si>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</si>
  <si>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</si>
  <si>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</si>
  <si>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</si>
  <si>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</si>
  <si>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</si>
  <si>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</si>
  <si>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</si>
  <si>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</si>
  <si>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충남</t>
  </si>
  <si>
    <t>2027학년도 교육과정 편제 및 학점배당표(마이스터고/특성화고)</t>
    <phoneticPr fontId="9" type="noConversion"/>
  </si>
  <si>
    <t>국방항공고등학교</t>
    <phoneticPr fontId="9" type="noConversion"/>
  </si>
  <si>
    <t>변은희</t>
    <phoneticPr fontId="9" type="noConversion"/>
  </si>
  <si>
    <t>736-1633</t>
    <phoneticPr fontId="9" type="noConversion"/>
  </si>
  <si>
    <t>김예지</t>
    <phoneticPr fontId="9" type="noConversion"/>
  </si>
  <si>
    <t>070-7813-8124</t>
    <phoneticPr fontId="9" type="noConversion"/>
  </si>
  <si>
    <t>항공기계과</t>
    <phoneticPr fontId="9" type="noConversion"/>
  </si>
  <si>
    <t>일반</t>
  </si>
  <si>
    <t>기계과</t>
  </si>
  <si>
    <t>운동과 건강</t>
    <phoneticPr fontId="9" type="noConversion"/>
  </si>
  <si>
    <t>스포츠 과학*</t>
    <phoneticPr fontId="9" type="noConversion"/>
  </si>
  <si>
    <t>기계 제도(기가대체)</t>
    <phoneticPr fontId="9" type="noConversion"/>
  </si>
  <si>
    <t>성공적인 직업 생활(정보대체)</t>
    <phoneticPr fontId="9" type="noConversion"/>
  </si>
  <si>
    <t>선반 가공</t>
    <phoneticPr fontId="9" type="noConversion"/>
  </si>
  <si>
    <t>컴퓨터 활용 생산</t>
    <phoneticPr fontId="9" type="noConversion"/>
  </si>
  <si>
    <t>성형 가공</t>
    <phoneticPr fontId="9" type="noConversion"/>
  </si>
  <si>
    <t>시도지정</t>
    <phoneticPr fontId="9" type="noConversion"/>
  </si>
  <si>
    <t>항공기 실무 기초</t>
    <phoneticPr fontId="9" type="noConversion"/>
  </si>
  <si>
    <t>시도지정</t>
  </si>
  <si>
    <t>항공기 기체 정비</t>
    <phoneticPr fontId="9" type="noConversion"/>
  </si>
  <si>
    <t>항공기 왕복 엔진 정비</t>
    <phoneticPr fontId="9" type="noConversion"/>
  </si>
  <si>
    <r>
      <t>항공기 전기</t>
    </r>
    <r>
      <rPr>
        <sz val="10"/>
        <rFont val="Yu Gothic"/>
        <family val="3"/>
        <charset val="128"/>
      </rPr>
      <t>･</t>
    </r>
    <r>
      <rPr>
        <sz val="10"/>
        <rFont val="맑은 고딕"/>
        <family val="3"/>
        <charset val="129"/>
        <scheme val="minor"/>
      </rPr>
      <t>전자 장비 정비</t>
    </r>
    <phoneticPr fontId="9" type="noConversion"/>
  </si>
  <si>
    <t>항공기 가스 터빈 엔진 정비</t>
    <phoneticPr fontId="9" type="noConversion"/>
  </si>
  <si>
    <t>항공기 계통 정비</t>
    <phoneticPr fontId="9" type="noConversion"/>
  </si>
  <si>
    <t>항공기 기체 제작</t>
    <phoneticPr fontId="9" type="noConversion"/>
  </si>
  <si>
    <t>기계 일반</t>
    <phoneticPr fontId="9" type="noConversion"/>
  </si>
  <si>
    <t>밀링 가공</t>
    <phoneticPr fontId="9" type="noConversion"/>
  </si>
  <si>
    <t>측정</t>
    <phoneticPr fontId="9" type="noConversion"/>
  </si>
  <si>
    <t>융합선택</t>
    <phoneticPr fontId="9" type="noConversion"/>
  </si>
  <si>
    <t>기후변화와 환경생태</t>
    <phoneticPr fontId="9" type="noConversion"/>
  </si>
  <si>
    <t>기계요소 설계</t>
    <phoneticPr fontId="9" type="noConversion"/>
  </si>
  <si>
    <t>기계 수동 조립</t>
    <phoneticPr fontId="9" type="noConversion"/>
  </si>
  <si>
    <t>피복 아크 용접</t>
    <phoneticPr fontId="9" type="noConversion"/>
  </si>
  <si>
    <t>과정1
항공기
정비원</t>
    <phoneticPr fontId="9" type="noConversion"/>
  </si>
  <si>
    <t>과정2
부품가공원</t>
    <phoneticPr fontId="9" type="noConversion"/>
  </si>
  <si>
    <t>총 이수 합계</t>
    <phoneticPr fontId="9" type="noConversion"/>
  </si>
  <si>
    <t>전기과</t>
  </si>
  <si>
    <t>항공전기전자과</t>
    <phoneticPr fontId="9" type="noConversion"/>
  </si>
  <si>
    <t>전자 회로(기가 대체)</t>
    <phoneticPr fontId="9" type="noConversion"/>
  </si>
  <si>
    <t>전공일반</t>
  </si>
  <si>
    <t>항공기 일반</t>
    <phoneticPr fontId="9" type="noConversion"/>
  </si>
  <si>
    <t>자동화 설비</t>
    <phoneticPr fontId="9" type="noConversion"/>
  </si>
  <si>
    <t>택1</t>
    <phoneticPr fontId="9" type="noConversion"/>
  </si>
  <si>
    <t>전기 기기</t>
    <phoneticPr fontId="9" type="noConversion"/>
  </si>
  <si>
    <t>전기 설비</t>
    <phoneticPr fontId="9" type="noConversion"/>
  </si>
  <si>
    <t>외선 공사</t>
    <phoneticPr fontId="9" type="noConversion"/>
  </si>
  <si>
    <r>
      <t>전기</t>
    </r>
    <r>
      <rPr>
        <sz val="10"/>
        <color theme="1"/>
        <rFont val="Yu Gothic"/>
        <family val="3"/>
        <charset val="128"/>
      </rPr>
      <t>･</t>
    </r>
    <r>
      <rPr>
        <sz val="10"/>
        <color theme="1"/>
        <rFont val="맑은 고딕"/>
        <family val="3"/>
        <charset val="129"/>
        <scheme val="minor"/>
      </rPr>
      <t>전자 측정</t>
    </r>
    <phoneticPr fontId="9" type="noConversion"/>
  </si>
  <si>
    <t>디지털 논리 회로</t>
    <phoneticPr fontId="9" type="noConversion"/>
  </si>
  <si>
    <t>전기 회로</t>
    <phoneticPr fontId="9" type="noConversion"/>
  </si>
  <si>
    <t>자동 제어 시스템 운영</t>
    <phoneticPr fontId="9" type="noConversion"/>
  </si>
  <si>
    <t>내선 공사</t>
    <phoneticPr fontId="9" type="noConversion"/>
  </si>
  <si>
    <t>정보 통신 기기 하드웨어 개발</t>
    <phoneticPr fontId="9" type="noConversion"/>
  </si>
  <si>
    <t>항공기 전기⋅전자 장비 정비</t>
  </si>
  <si>
    <t>자동 제어 기기 제작</t>
  </si>
  <si>
    <t>전공실무</t>
  </si>
  <si>
    <t>전자 부품 생산</t>
    <phoneticPr fontId="9" type="noConversion"/>
  </si>
  <si>
    <t xml:space="preserve"> 내선 공사</t>
    <phoneticPr fontId="9" type="noConversion"/>
  </si>
  <si>
    <t>전자 제품 생산</t>
    <phoneticPr fontId="9" type="noConversion"/>
  </si>
  <si>
    <t>건축토목</t>
  </si>
  <si>
    <t>건축인테리어과</t>
  </si>
  <si>
    <t>지형공간디자인과</t>
    <phoneticPr fontId="9" type="noConversion"/>
  </si>
  <si>
    <t>성공적인 직업 생활(기가대체)</t>
    <phoneticPr fontId="9" type="noConversion"/>
  </si>
  <si>
    <t>기초제도(정보대체)</t>
    <phoneticPr fontId="9" type="noConversion"/>
  </si>
  <si>
    <t>드론 기초</t>
    <phoneticPr fontId="9" type="noConversion"/>
  </si>
  <si>
    <t>건축 도면 해석과 제도</t>
    <phoneticPr fontId="9" type="noConversion"/>
  </si>
  <si>
    <t>건설 재료</t>
    <phoneticPr fontId="9" type="noConversion"/>
  </si>
  <si>
    <t>소형 무인기 운용·조종</t>
    <phoneticPr fontId="9" type="noConversion"/>
  </si>
  <si>
    <t>과정3
전기시공원</t>
    <phoneticPr fontId="9" type="noConversion"/>
  </si>
  <si>
    <t>과정2
지적 및
 측량 
기술자</t>
    <phoneticPr fontId="9" type="noConversion"/>
  </si>
  <si>
    <t>과정3
건축설계
기초기술자</t>
    <phoneticPr fontId="9" type="noConversion"/>
  </si>
  <si>
    <t>토목 일반</t>
    <phoneticPr fontId="9" type="noConversion"/>
  </si>
  <si>
    <t>건축 기초 실습</t>
    <phoneticPr fontId="9" type="noConversion"/>
  </si>
  <si>
    <t>측량 기초</t>
    <phoneticPr fontId="9" type="noConversion"/>
  </si>
  <si>
    <t>건축 목공 시공</t>
    <phoneticPr fontId="9" type="noConversion"/>
  </si>
  <si>
    <t>측량</t>
    <phoneticPr fontId="9" type="noConversion"/>
  </si>
  <si>
    <t>측량Ⅰ(고시외)</t>
    <phoneticPr fontId="9" type="noConversion"/>
  </si>
  <si>
    <t>지적</t>
    <phoneticPr fontId="9" type="noConversion"/>
  </si>
  <si>
    <t>측량Ⅱ(고시외)</t>
    <phoneticPr fontId="9" type="noConversion"/>
  </si>
  <si>
    <t>역학 기초</t>
    <phoneticPr fontId="9" type="noConversion"/>
  </si>
  <si>
    <t>건축 일반</t>
    <phoneticPr fontId="9" type="noConversion"/>
  </si>
  <si>
    <t>건축 설계</t>
    <phoneticPr fontId="9" type="noConversion"/>
  </si>
  <si>
    <t>철근 콘크리트 시공</t>
    <phoneticPr fontId="9" type="noConversion"/>
  </si>
  <si>
    <t>공간 정보 구축</t>
    <phoneticPr fontId="9" type="noConversion"/>
  </si>
  <si>
    <t>공간 정보 융합 서비스</t>
    <phoneticPr fontId="9" type="noConversion"/>
  </si>
  <si>
    <t>화학공업</t>
  </si>
  <si>
    <t>화학공업과</t>
  </si>
  <si>
    <t>바이오제약과</t>
    <phoneticPr fontId="9" type="noConversion"/>
  </si>
  <si>
    <r>
      <t xml:space="preserve">과정1
항공기
정비원
</t>
    </r>
    <r>
      <rPr>
        <sz val="9"/>
        <rFont val="맑은 고딕"/>
        <family val="3"/>
        <charset val="129"/>
        <scheme val="minor"/>
      </rPr>
      <t>(타학과융합)</t>
    </r>
    <phoneticPr fontId="9" type="noConversion"/>
  </si>
  <si>
    <t>환경 화학 기초(기가대체)</t>
    <phoneticPr fontId="9" type="noConversion"/>
  </si>
  <si>
    <t>성공적인 직업 생활
(로봇과 공학세계 대체)</t>
    <phoneticPr fontId="9" type="noConversion"/>
  </si>
  <si>
    <t>GMP 기초(고시외)</t>
    <phoneticPr fontId="9" type="noConversion"/>
  </si>
  <si>
    <t>화학 공정 유지 운영</t>
    <phoneticPr fontId="9" type="noConversion"/>
  </si>
  <si>
    <t>과정2
바이오 화학 제품 제조 기술자</t>
    <phoneticPr fontId="9" type="noConversion"/>
  </si>
  <si>
    <t>화공 플랜트 전기</t>
    <phoneticPr fontId="9" type="noConversion"/>
  </si>
  <si>
    <t>스마트 공정 제어</t>
    <phoneticPr fontId="9" type="noConversion"/>
  </si>
  <si>
    <t>공업 화학</t>
    <phoneticPr fontId="9" type="noConversion"/>
  </si>
  <si>
    <t>바이오 화학 제품 제조</t>
    <phoneticPr fontId="9" type="noConversion"/>
  </si>
  <si>
    <t>바이오 의약품 제조</t>
    <phoneticPr fontId="9" type="noConversion"/>
  </si>
  <si>
    <t>GMP 실무(고시외)</t>
    <phoneticPr fontId="9" type="noConversion"/>
  </si>
  <si>
    <t>과정3
화학 분석 기술자</t>
    <phoneticPr fontId="9" type="noConversion"/>
  </si>
  <si>
    <t>화학 분석</t>
    <phoneticPr fontId="9" type="noConversion"/>
  </si>
  <si>
    <t>화학 물질 관리</t>
    <phoneticPr fontId="9" type="noConversion"/>
  </si>
  <si>
    <r>
      <t xml:space="preserve">디지털과 직업생활
</t>
    </r>
    <r>
      <rPr>
        <sz val="10"/>
        <color theme="1"/>
        <rFont val="맑은 고딕"/>
        <family val="3"/>
        <charset val="129"/>
        <scheme val="minor"/>
      </rPr>
      <t>(인공지능 기초대체)</t>
    </r>
    <phoneticPr fontId="9" type="noConversion"/>
  </si>
  <si>
    <t>디지털과 직업생활
(인공지능 기초대체)</t>
    <phoneticPr fontId="9" type="noConversion"/>
  </si>
  <si>
    <t>바이오 기초 화학
(생활과학 탐구 대체)</t>
    <phoneticPr fontId="9" type="noConversion"/>
  </si>
  <si>
    <t>공구 선정</t>
    <phoneticPr fontId="9" type="noConversion"/>
  </si>
  <si>
    <t>1502010102_14v2</t>
    <phoneticPr fontId="9" type="noConversion"/>
  </si>
  <si>
    <t xml:space="preserve">기본 작업(선반 가공) </t>
    <phoneticPr fontId="9" type="noConversion"/>
  </si>
  <si>
    <t>1502010104_16v4</t>
    <phoneticPr fontId="9" type="noConversion"/>
  </si>
  <si>
    <t>홈·테이퍼 작업</t>
    <phoneticPr fontId="9" type="noConversion"/>
  </si>
  <si>
    <t>1502010106_14v2</t>
    <phoneticPr fontId="9" type="noConversion"/>
  </si>
  <si>
    <t>편심·나사 작업</t>
    <phoneticPr fontId="9" type="noConversion"/>
  </si>
  <si>
    <t>1502010107_14v2</t>
    <phoneticPr fontId="9" type="noConversion"/>
  </si>
  <si>
    <t>선반 가공
(공통)</t>
    <phoneticPr fontId="9" type="noConversion"/>
  </si>
  <si>
    <t>컴퓨터 활용 생산
(공통)</t>
    <phoneticPr fontId="9" type="noConversion"/>
  </si>
  <si>
    <t>CNC 선반 조작</t>
    <phoneticPr fontId="9" type="noConversion"/>
  </si>
  <si>
    <t>1502010403_24v4</t>
    <phoneticPr fontId="9" type="noConversion"/>
  </si>
  <si>
    <t>CNC 선반 가공 프로그래밍</t>
    <phoneticPr fontId="5" type="noConversion"/>
  </si>
  <si>
    <t xml:space="preserve">1502010404_24v6	</t>
    <phoneticPr fontId="9" type="noConversion"/>
  </si>
  <si>
    <t>안전규정준수(CAM)</t>
    <phoneticPr fontId="5" type="noConversion"/>
  </si>
  <si>
    <t>1502010413_18v2</t>
    <phoneticPr fontId="5" type="noConversion"/>
  </si>
  <si>
    <t>CNC 밀링(머시닝센터) 조작</t>
    <phoneticPr fontId="9" type="noConversion"/>
  </si>
  <si>
    <t>1502010405_24v4</t>
    <phoneticPr fontId="9" type="noConversion"/>
  </si>
  <si>
    <t>CNC 밀링(머시닝센터) 가공 프로그래밍</t>
    <phoneticPr fontId="9" type="noConversion"/>
  </si>
  <si>
    <t xml:space="preserve">1502010406_24v5	</t>
    <phoneticPr fontId="9" type="noConversion"/>
  </si>
  <si>
    <t>CNC 밀링(머시닝센터) 가공 CAM 프로그래밍</t>
    <phoneticPr fontId="9" type="noConversion"/>
  </si>
  <si>
    <t>1502010408_24v6</t>
    <phoneticPr fontId="9" type="noConversion"/>
  </si>
  <si>
    <t>성형 가공
(공통)</t>
    <phoneticPr fontId="9" type="noConversion"/>
  </si>
  <si>
    <t>기본 공구 사용</t>
    <phoneticPr fontId="9" type="noConversion"/>
  </si>
  <si>
    <t>1502010603_14v2</t>
    <phoneticPr fontId="9" type="noConversion"/>
  </si>
  <si>
    <t>도면 해독</t>
    <phoneticPr fontId="9" type="noConversion"/>
  </si>
  <si>
    <t>1502010604_14v2</t>
    <phoneticPr fontId="9" type="noConversion"/>
  </si>
  <si>
    <t>항공기 기체 정비
(과정1)</t>
    <phoneticPr fontId="9" type="noConversion"/>
  </si>
  <si>
    <t>항공기 측정 작업</t>
    <phoneticPr fontId="9" type="noConversion"/>
  </si>
  <si>
    <t>1509030102_23v2</t>
  </si>
  <si>
    <t>항공기 용접 작업</t>
    <phoneticPr fontId="9" type="noConversion"/>
  </si>
  <si>
    <t>1509030105_23v2</t>
  </si>
  <si>
    <t>항공기 기체 기본 작업</t>
    <phoneticPr fontId="75" type="noConversion"/>
  </si>
  <si>
    <t>1509030101_23v4</t>
    <phoneticPr fontId="75" type="noConversion"/>
  </si>
  <si>
    <t>항공기 판금 작업</t>
    <phoneticPr fontId="75" type="noConversion"/>
  </si>
  <si>
    <t>1509030103_23v3</t>
    <phoneticPr fontId="75" type="noConversion"/>
  </si>
  <si>
    <t>항공기 배관 작업</t>
    <phoneticPr fontId="75" type="noConversion"/>
  </si>
  <si>
    <t>1509030104_23v2</t>
    <phoneticPr fontId="75" type="noConversion"/>
  </si>
  <si>
    <t>항공기 왕복 엔진 정비
(과정1)</t>
    <phoneticPr fontId="9" type="noConversion"/>
  </si>
  <si>
    <t>항공기 왕복 엔진 외부검사</t>
    <phoneticPr fontId="9" type="noConversion"/>
  </si>
  <si>
    <t>1509030301_14v1</t>
    <phoneticPr fontId="9" type="noConversion"/>
  </si>
  <si>
    <t>40</t>
    <phoneticPr fontId="9" type="noConversion"/>
  </si>
  <si>
    <t>항공기 왕복 엔진 냉각 계통 점검</t>
    <phoneticPr fontId="9" type="noConversion"/>
  </si>
  <si>
    <t>1509030304_17v2</t>
    <phoneticPr fontId="9" type="noConversion"/>
  </si>
  <si>
    <t>항공기 왕복 엔진 점화 계통 점검</t>
    <phoneticPr fontId="9" type="noConversion"/>
  </si>
  <si>
    <t>1509030307_16v2</t>
    <phoneticPr fontId="9" type="noConversion"/>
  </si>
  <si>
    <t>항공기 왕복 엔진 실린더 점검</t>
    <phoneticPr fontId="9" type="noConversion"/>
  </si>
  <si>
    <t>1509030308_23v3</t>
    <phoneticPr fontId="9" type="noConversion"/>
  </si>
  <si>
    <t>항공기 전기·전자 장비 정비
(과정1)</t>
    <phoneticPr fontId="9" type="noConversion"/>
  </si>
  <si>
    <t>항공 전기·전자 기본 작업</t>
    <phoneticPr fontId="9" type="noConversion"/>
  </si>
  <si>
    <t>1509030601_24v2</t>
    <phoneticPr fontId="9" type="noConversion"/>
  </si>
  <si>
    <t>항공 전기·전자 계통 점검</t>
    <phoneticPr fontId="9" type="noConversion"/>
  </si>
  <si>
    <t>1509030610_24v2</t>
    <phoneticPr fontId="9" type="noConversion"/>
  </si>
  <si>
    <t>항공기 조명 계통 점검</t>
    <phoneticPr fontId="9" type="noConversion"/>
  </si>
  <si>
    <t>1509030606_24v2</t>
    <phoneticPr fontId="9" type="noConversion"/>
  </si>
  <si>
    <t>항공기 가스 터빈 엔진 정비
(과정1)</t>
    <phoneticPr fontId="9" type="noConversion"/>
  </si>
  <si>
    <t>항공기 가스 터빈 엔진 계통 고장 탐구</t>
    <phoneticPr fontId="9" type="noConversion"/>
  </si>
  <si>
    <t>1509030209_23v4</t>
    <phoneticPr fontId="9" type="noConversion"/>
  </si>
  <si>
    <t>항공기 가스 터빈 엔진 점검</t>
    <phoneticPr fontId="9" type="noConversion"/>
  </si>
  <si>
    <t>1509030211_23v4</t>
    <phoneticPr fontId="9" type="noConversion"/>
  </si>
  <si>
    <t>항공기 가스 터빈 엔진 외부 장착품 장·탈착</t>
    <phoneticPr fontId="9" type="noConversion"/>
  </si>
  <si>
    <t>1509030202_23v3</t>
    <phoneticPr fontId="9" type="noConversion"/>
  </si>
  <si>
    <t>항공기 가스 터빈 엔진 부품 검사</t>
    <phoneticPr fontId="9" type="noConversion"/>
  </si>
  <si>
    <t>1509030206_23v2</t>
    <phoneticPr fontId="9" type="noConversion"/>
  </si>
  <si>
    <t>항공기 계통 정비
(과정1)</t>
    <phoneticPr fontId="9" type="noConversion"/>
  </si>
  <si>
    <t>항공기 지상 취급</t>
    <phoneticPr fontId="9" type="noConversion"/>
  </si>
  <si>
    <t>1509030501_24v2</t>
    <phoneticPr fontId="9" type="noConversion"/>
  </si>
  <si>
    <t>항공기 산소 계통 점검</t>
    <phoneticPr fontId="9" type="noConversion"/>
  </si>
  <si>
    <t>1509030508_24v2</t>
  </si>
  <si>
    <t>항공기 급수·배수계통 점검</t>
    <phoneticPr fontId="9" type="noConversion"/>
  </si>
  <si>
    <t>1509030510_16v2</t>
    <phoneticPr fontId="9" type="noConversion"/>
  </si>
  <si>
    <t>항공기 기체 구조 점검</t>
    <phoneticPr fontId="9" type="noConversion"/>
  </si>
  <si>
    <t>1509030511_24v2</t>
    <phoneticPr fontId="9" type="noConversion"/>
  </si>
  <si>
    <t>항공기 기체 제작
(과정1)</t>
    <phoneticPr fontId="9" type="noConversion"/>
  </si>
  <si>
    <t>항공기 기체 부품 리벳 작업</t>
    <phoneticPr fontId="9" type="noConversion"/>
  </si>
  <si>
    <t>1509020116_16v2</t>
  </si>
  <si>
    <t>항공기 기체 부품 조립</t>
    <phoneticPr fontId="9" type="noConversion"/>
  </si>
  <si>
    <t>1509020117_16v2</t>
  </si>
  <si>
    <t>항공기 기체 부품 튜브 가공</t>
    <phoneticPr fontId="9" type="noConversion"/>
  </si>
  <si>
    <t>1509020105_14v1</t>
  </si>
  <si>
    <t>항공기 기체 부품 화학 처리</t>
    <phoneticPr fontId="9" type="noConversion"/>
  </si>
  <si>
    <t>1509020107_14v1</t>
  </si>
  <si>
    <t>밀링 가공
(과정2)</t>
    <phoneticPr fontId="9" type="noConversion"/>
  </si>
  <si>
    <t>작업장 유지 관리(밀링 가공)</t>
    <phoneticPr fontId="9" type="noConversion"/>
  </si>
  <si>
    <t>1502010202_16v4</t>
    <phoneticPr fontId="9" type="noConversion"/>
  </si>
  <si>
    <t>도면 해독</t>
    <phoneticPr fontId="5" type="noConversion"/>
  </si>
  <si>
    <t>1502010212_16v4</t>
    <phoneticPr fontId="5" type="noConversion"/>
  </si>
  <si>
    <t>기본 작업(밀링 가공)</t>
    <phoneticPr fontId="9" type="noConversion"/>
  </si>
  <si>
    <t>1502010204_16v4</t>
    <phoneticPr fontId="9" type="noConversion"/>
  </si>
  <si>
    <t>엔드밀 가공</t>
    <phoneticPr fontId="9" type="noConversion"/>
  </si>
  <si>
    <t>1502010207_16v4</t>
    <phoneticPr fontId="9" type="noConversion"/>
  </si>
  <si>
    <t>탭·드릴·보링 가공</t>
    <phoneticPr fontId="9" type="noConversion"/>
  </si>
  <si>
    <t>1502010206_14v2</t>
    <phoneticPr fontId="9" type="noConversion"/>
  </si>
  <si>
    <t>측정
(과정2)</t>
    <phoneticPr fontId="9" type="noConversion"/>
  </si>
  <si>
    <t>기본 측정기 사용</t>
    <phoneticPr fontId="9" type="noConversion"/>
  </si>
  <si>
    <t>1502010504_20v3</t>
    <phoneticPr fontId="9" type="noConversion"/>
  </si>
  <si>
    <t>비교 측정</t>
    <phoneticPr fontId="5" type="noConversion"/>
  </si>
  <si>
    <t>1502010506_20v4</t>
    <phoneticPr fontId="5" type="noConversion"/>
  </si>
  <si>
    <t>정밀 측정</t>
    <phoneticPr fontId="9" type="noConversion"/>
  </si>
  <si>
    <t>1502010505_20v4</t>
    <phoneticPr fontId="9" type="noConversion"/>
  </si>
  <si>
    <t>측정기 유지관리</t>
    <phoneticPr fontId="9" type="noConversion"/>
  </si>
  <si>
    <t>1502010508_20v4</t>
    <phoneticPr fontId="9" type="noConversion"/>
  </si>
  <si>
    <t>기계요소 설계
(과정2)</t>
    <phoneticPr fontId="9" type="noConversion"/>
  </si>
  <si>
    <t>3D 형상 모델링 작업</t>
    <phoneticPr fontId="9" type="noConversion"/>
  </si>
  <si>
    <t>1501020113_16v3</t>
    <phoneticPr fontId="9" type="noConversion"/>
  </si>
  <si>
    <t>도면 검토</t>
    <phoneticPr fontId="9" type="noConversion"/>
  </si>
  <si>
    <t>1501020116_19v4</t>
    <phoneticPr fontId="9" type="noConversion"/>
  </si>
  <si>
    <t>체결 요소 설계</t>
    <phoneticPr fontId="9" type="noConversion"/>
  </si>
  <si>
    <t>1501020106_16v3</t>
  </si>
  <si>
    <t>요소 부품 재질 선정</t>
    <phoneticPr fontId="9" type="noConversion"/>
  </si>
  <si>
    <t>1501020105_19v3</t>
    <phoneticPr fontId="9" type="noConversion"/>
  </si>
  <si>
    <t>기계 수동 조립
(과정2)</t>
    <phoneticPr fontId="9" type="noConversion"/>
  </si>
  <si>
    <t>조립 도면 해독</t>
    <phoneticPr fontId="9" type="noConversion"/>
  </si>
  <si>
    <t>1503010111_25v5</t>
    <phoneticPr fontId="9" type="noConversion"/>
  </si>
  <si>
    <t>45</t>
    <phoneticPr fontId="9" type="noConversion"/>
  </si>
  <si>
    <t>2</t>
    <phoneticPr fontId="9" type="noConversion"/>
  </si>
  <si>
    <t>기계 부품 조립</t>
    <phoneticPr fontId="9" type="noConversion"/>
  </si>
  <si>
    <t>1503010106_25v5</t>
    <phoneticPr fontId="9" type="noConversion"/>
  </si>
  <si>
    <t>90</t>
    <phoneticPr fontId="9" type="noConversion"/>
  </si>
  <si>
    <t>조립 도면 작성</t>
    <phoneticPr fontId="9" type="noConversion"/>
  </si>
  <si>
    <t>1503010112_25v5</t>
    <phoneticPr fontId="9" type="noConversion"/>
  </si>
  <si>
    <t>3</t>
    <phoneticPr fontId="9" type="noConversion"/>
  </si>
  <si>
    <t>기계 구동 장치 조립</t>
    <phoneticPr fontId="9" type="noConversion"/>
  </si>
  <si>
    <t>1503010120_25v2</t>
    <phoneticPr fontId="9" type="noConversion"/>
  </si>
  <si>
    <t>50</t>
    <phoneticPr fontId="9" type="noConversion"/>
  </si>
  <si>
    <t>피복 아크 용접
(과정2)</t>
    <phoneticPr fontId="9" type="noConversion"/>
  </si>
  <si>
    <t>피복 아크 용접 가용접 작업</t>
    <phoneticPr fontId="9" type="noConversion"/>
  </si>
  <si>
    <t>1601050105_21v3</t>
    <phoneticPr fontId="9" type="noConversion"/>
  </si>
  <si>
    <t>피복 아크 용접 비드 쌓기</t>
    <phoneticPr fontId="9" type="noConversion"/>
  </si>
  <si>
    <t>1601050110_21v3</t>
    <phoneticPr fontId="9" type="noConversion"/>
  </si>
  <si>
    <t xml:space="preserve"> 피복 아크 용접 맞대기 용접</t>
    <phoneticPr fontId="9" type="noConversion"/>
  </si>
  <si>
    <t>1601050111_21v3</t>
    <phoneticPr fontId="9" type="noConversion"/>
  </si>
  <si>
    <t>피복 아크 용접 필릿 용접</t>
    <phoneticPr fontId="9" type="noConversion"/>
  </si>
  <si>
    <t xml:space="preserve">	1601050112_21v3</t>
    <phoneticPr fontId="9" type="noConversion"/>
  </si>
  <si>
    <t>외선 공사
(공통)</t>
    <phoneticPr fontId="9" type="noConversion"/>
  </si>
  <si>
    <t>수변전설비검사</t>
    <phoneticPr fontId="9" type="noConversion"/>
  </si>
  <si>
    <t>1901070127_22v4</t>
    <phoneticPr fontId="75" type="noConversion"/>
  </si>
  <si>
    <t>가공배전선로공사</t>
    <phoneticPr fontId="9" type="noConversion"/>
  </si>
  <si>
    <t>1901070212_22v4</t>
    <phoneticPr fontId="75" type="noConversion"/>
  </si>
  <si>
    <t>계폐장치 정밀유지보수공사</t>
    <phoneticPr fontId="9" type="noConversion"/>
  </si>
  <si>
    <t>1901070311_22v4</t>
    <phoneticPr fontId="75" type="noConversion"/>
  </si>
  <si>
    <t>전기공사문서관리</t>
    <phoneticPr fontId="9" type="noConversion"/>
  </si>
  <si>
    <t>1901070402_22v4</t>
    <phoneticPr fontId="75" type="noConversion"/>
  </si>
  <si>
    <t>정보 통신 기기 하드웨어 개발
(과정1)</t>
    <phoneticPr fontId="9" type="noConversion"/>
  </si>
  <si>
    <t>정보통신기기 PCB 개발</t>
  </si>
  <si>
    <t>1903030107_20v3</t>
  </si>
  <si>
    <t>PLC 제어 기본 모듈 프로그램 개발</t>
  </si>
  <si>
    <t>1503010210_14v3</t>
  </si>
  <si>
    <t>내선 공사
(과정2)</t>
    <phoneticPr fontId="9" type="noConversion"/>
  </si>
  <si>
    <t>내선공사 견적</t>
    <phoneticPr fontId="9" type="noConversion"/>
  </si>
  <si>
    <t>1901070114_22v4</t>
  </si>
  <si>
    <t>배관공사</t>
    <phoneticPr fontId="9" type="noConversion"/>
  </si>
  <si>
    <t>1901070116_22v4</t>
  </si>
  <si>
    <t>배선공사</t>
    <phoneticPr fontId="9" type="noConversion"/>
  </si>
  <si>
    <t>1901070117_22v4</t>
  </si>
  <si>
    <t>동력 설비 공사</t>
    <phoneticPr fontId="9" type="noConversion"/>
  </si>
  <si>
    <t>1901070122_22v4</t>
    <phoneticPr fontId="9" type="noConversion"/>
  </si>
  <si>
    <t>옥내 조명 공사</t>
    <phoneticPr fontId="9" type="noConversion"/>
  </si>
  <si>
    <t>1901070119_22v4</t>
  </si>
  <si>
    <t>접지설비공사</t>
  </si>
  <si>
    <t>1901070128_22v4</t>
  </si>
  <si>
    <t>1901070131_22v4</t>
    <phoneticPr fontId="9" type="noConversion"/>
  </si>
  <si>
    <t>자동 제어 시스템 운영
(과정2)</t>
    <phoneticPr fontId="9" type="noConversion"/>
  </si>
  <si>
    <t>제어 원리 응용</t>
  </si>
  <si>
    <t>1901080401_14v2</t>
  </si>
  <si>
    <t>1901080411_20v3</t>
  </si>
  <si>
    <t>프로그램로직제어(PLC) 기본운영</t>
  </si>
  <si>
    <t>1901080412_20v3</t>
  </si>
  <si>
    <t>HMI 운영</t>
  </si>
  <si>
    <t>1901080406_14v2</t>
  </si>
  <si>
    <t>정보 통신 기기 하드웨어 개발
(과정2)</t>
    <phoneticPr fontId="9" type="noConversion"/>
  </si>
  <si>
    <t>항공기 전기 전자 장비 정비
(과정2)</t>
    <phoneticPr fontId="9" type="noConversion"/>
  </si>
  <si>
    <t>항공 전기·전자 기본 작업</t>
  </si>
  <si>
    <t>1509030601_14v1</t>
  </si>
  <si>
    <t>항공기 자동비행계통 점검</t>
  </si>
  <si>
    <t>1509030602_17v2</t>
  </si>
  <si>
    <t>항공기 전기계통 점검</t>
  </si>
  <si>
    <t>1509030603_17v2</t>
  </si>
  <si>
    <t>항공기 화재방지계통 점검</t>
  </si>
  <si>
    <t>1509030604_14v1</t>
  </si>
  <si>
    <t>항공기 통신계통 점검</t>
  </si>
  <si>
    <t>1509030605_14v1</t>
  </si>
  <si>
    <t>항공 전기·전자계통 점검</t>
  </si>
  <si>
    <t>1509030610_14v1</t>
  </si>
  <si>
    <t>자동 제어 기기 제작
(과정2)</t>
    <phoneticPr fontId="9" type="noConversion"/>
  </si>
  <si>
    <t>전장품 조립</t>
  </si>
  <si>
    <t>1901080214_16v2</t>
  </si>
  <si>
    <t>하드웨어 제작</t>
  </si>
  <si>
    <t>1901080215_16v2</t>
  </si>
  <si>
    <t>소프트웨어 작성</t>
  </si>
  <si>
    <t>1901080216_16v2</t>
  </si>
  <si>
    <t>인터페이스시스템 제작</t>
  </si>
  <si>
    <t>1901080218_16v2</t>
  </si>
  <si>
    <t>전자 부품 생산
(과정3)</t>
    <phoneticPr fontId="9" type="noConversion"/>
  </si>
  <si>
    <t>하드웨어 성능구현</t>
    <phoneticPr fontId="9" type="noConversion"/>
  </si>
  <si>
    <t>1903010308_16v3</t>
  </si>
  <si>
    <t>전기전자장치조립</t>
    <phoneticPr fontId="9" type="noConversion"/>
  </si>
  <si>
    <t>1503010119_16V4</t>
    <phoneticPr fontId="9" type="noConversion"/>
  </si>
  <si>
    <t>하드웨어 부품선정</t>
  </si>
  <si>
    <t>1903010306_16v3</t>
  </si>
  <si>
    <t>전자제품생산 자재관리</t>
    <phoneticPr fontId="9" type="noConversion"/>
  </si>
  <si>
    <t>1902010204_13V2</t>
    <phoneticPr fontId="9" type="noConversion"/>
  </si>
  <si>
    <t>내선 공사
(과정3)</t>
    <phoneticPr fontId="9" type="noConversion"/>
  </si>
  <si>
    <t>전열공사</t>
    <phoneticPr fontId="9" type="noConversion"/>
  </si>
  <si>
    <t>1901070120_22v4</t>
    <phoneticPr fontId="9" type="noConversion"/>
  </si>
  <si>
    <t>경보설비공사</t>
    <phoneticPr fontId="9" type="noConversion"/>
  </si>
  <si>
    <t>자동 제어 시스템 운영(과정3)</t>
    <phoneticPr fontId="9" type="noConversion"/>
  </si>
  <si>
    <t>전자 제품 생산
(과정3)</t>
    <phoneticPr fontId="9" type="noConversion"/>
  </si>
  <si>
    <t>전자제품 제조</t>
    <phoneticPr fontId="9" type="noConversion"/>
  </si>
  <si>
    <t>1902010207_16v3</t>
    <phoneticPr fontId="9" type="noConversion"/>
  </si>
  <si>
    <t>전자부품 생산활동</t>
    <phoneticPr fontId="9" type="noConversion"/>
  </si>
  <si>
    <t>1902020208_16v3</t>
    <phoneticPr fontId="9" type="noConversion"/>
  </si>
  <si>
    <t>전기기기 회로부 조립</t>
  </si>
  <si>
    <t>1901050206_14v2</t>
  </si>
  <si>
    <t>선택능력단위(기업특화)</t>
  </si>
  <si>
    <t>0000000000_00v0</t>
  </si>
  <si>
    <t>정보 통신 기기 하드웨어 개발
(과정3)</t>
    <phoneticPr fontId="9" type="noConversion"/>
  </si>
  <si>
    <t>정보통신기기 아날로그회로설계</t>
    <phoneticPr fontId="9" type="noConversion"/>
  </si>
  <si>
    <t>1903030104_14v2</t>
    <phoneticPr fontId="9" type="noConversion"/>
  </si>
  <si>
    <t>정보통신기기 디지털회로설계</t>
    <phoneticPr fontId="9" type="noConversion"/>
  </si>
  <si>
    <t>1903030105_14v2</t>
    <phoneticPr fontId="9" type="noConversion"/>
  </si>
  <si>
    <t>소형 무인기 운용·조종
(공통)</t>
    <phoneticPr fontId="9" type="noConversion"/>
  </si>
  <si>
    <t>소형무인기 촬영 운용</t>
    <phoneticPr fontId="9" type="noConversion"/>
  </si>
  <si>
    <t>0904010510_16v1</t>
    <phoneticPr fontId="9" type="noConversion"/>
  </si>
  <si>
    <t>소형무인기 공간정보 운용</t>
    <phoneticPr fontId="9" type="noConversion"/>
  </si>
  <si>
    <t>0904010515_16v1</t>
    <phoneticPr fontId="9" type="noConversion"/>
  </si>
  <si>
    <t>건축목공시공 도면파악</t>
    <phoneticPr fontId="9" type="noConversion"/>
  </si>
  <si>
    <t>1403020101_14v2</t>
    <phoneticPr fontId="9" type="noConversion"/>
  </si>
  <si>
    <t>구조물 제작설치</t>
    <phoneticPr fontId="9" type="noConversion"/>
  </si>
  <si>
    <t>1403020106_14v2</t>
    <phoneticPr fontId="9" type="noConversion"/>
  </si>
  <si>
    <t>평면기준점측량</t>
    <phoneticPr fontId="9" type="noConversion"/>
  </si>
  <si>
    <t>1402030201_20v3</t>
  </si>
  <si>
    <t>수준점측량</t>
    <phoneticPr fontId="9" type="noConversion"/>
  </si>
  <si>
    <t>1402030202_20v3</t>
  </si>
  <si>
    <t>지상현황측량</t>
  </si>
  <si>
    <t>1402030203_20v3</t>
  </si>
  <si>
    <t>노선측량</t>
    <phoneticPr fontId="9" type="noConversion"/>
  </si>
  <si>
    <t>1402030207_20v3</t>
  </si>
  <si>
    <t>하천측량</t>
    <phoneticPr fontId="9" type="noConversion"/>
  </si>
  <si>
    <t>1402030208_20v3</t>
    <phoneticPr fontId="9" type="noConversion"/>
  </si>
  <si>
    <t>지적기준점측량</t>
    <phoneticPr fontId="9" type="noConversion"/>
  </si>
  <si>
    <t>1402030101_14v2</t>
    <phoneticPr fontId="9" type="noConversion"/>
  </si>
  <si>
    <t>세부측량</t>
    <phoneticPr fontId="9" type="noConversion"/>
  </si>
  <si>
    <t>1402030102_14v2</t>
    <phoneticPr fontId="9" type="noConversion"/>
  </si>
  <si>
    <t>지번변경</t>
    <phoneticPr fontId="9" type="noConversion"/>
  </si>
  <si>
    <t>1402030107_14v2</t>
    <phoneticPr fontId="9" type="noConversion"/>
  </si>
  <si>
    <t>토지등록</t>
    <phoneticPr fontId="9" type="noConversion"/>
  </si>
  <si>
    <t>1402030108_14v2</t>
    <phoneticPr fontId="9" type="noConversion"/>
  </si>
  <si>
    <t>건축설계 조사 확인</t>
    <phoneticPr fontId="9" type="noConversion"/>
  </si>
  <si>
    <t>1403010114_20v4</t>
  </si>
  <si>
    <t>건축설계 2D 도면작성</t>
    <phoneticPr fontId="9" type="noConversion"/>
  </si>
  <si>
    <t>1403010119_20v1</t>
    <phoneticPr fontId="9" type="noConversion"/>
  </si>
  <si>
    <t>건축설계 도면 해석</t>
  </si>
  <si>
    <t>1403010118_20v1</t>
  </si>
  <si>
    <t>건축설계 3D 모델링</t>
  </si>
  <si>
    <t>1403010120_20v1</t>
  </si>
  <si>
    <t>콘크리트 타설 전 준비</t>
  </si>
  <si>
    <t>1403020608_22v3</t>
    <phoneticPr fontId="9" type="noConversion"/>
  </si>
  <si>
    <t>콘크리트 타설 양생</t>
  </si>
  <si>
    <t>1403020609_22v3</t>
    <phoneticPr fontId="9" type="noConversion"/>
  </si>
  <si>
    <t>정사영상지도 제작</t>
  </si>
  <si>
    <t>1402030306_23v3</t>
  </si>
  <si>
    <t>실내공간정보 구축</t>
  </si>
  <si>
    <t>1402030311_23v2</t>
  </si>
  <si>
    <t>위성영상 공간정보 구축</t>
  </si>
  <si>
    <t>1402030315_23v1</t>
  </si>
  <si>
    <t>국토변화 모니터링</t>
  </si>
  <si>
    <t>1402030309_23v3</t>
  </si>
  <si>
    <t>공간 정보 편집</t>
    <phoneticPr fontId="9" type="noConversion"/>
  </si>
  <si>
    <t>1402030403_21v2</t>
  </si>
  <si>
    <t>공간 정보 분석</t>
    <phoneticPr fontId="9" type="noConversion"/>
  </si>
  <si>
    <t>1402030407_21v2</t>
  </si>
  <si>
    <t>공간정보 데이터 수집·처리·가공</t>
    <phoneticPr fontId="9" type="noConversion"/>
  </si>
  <si>
    <t>1402030404_21v2</t>
  </si>
  <si>
    <t>공간 영상 처리</t>
    <phoneticPr fontId="9" type="noConversion"/>
  </si>
  <si>
    <t>1402030405_21v2</t>
  </si>
  <si>
    <t>건축 목공 시공
(과정2, 3)</t>
    <phoneticPr fontId="9" type="noConversion"/>
  </si>
  <si>
    <t>지적
(과정2)</t>
    <phoneticPr fontId="9" type="noConversion"/>
  </si>
  <si>
    <t>건축 설계
(과정3)</t>
    <phoneticPr fontId="9" type="noConversion"/>
  </si>
  <si>
    <t>공간 정보 구축
(과정3)</t>
    <phoneticPr fontId="9" type="noConversion"/>
  </si>
  <si>
    <t>공간 정보 융합 서비스
(과정3)</t>
    <phoneticPr fontId="9" type="noConversion"/>
  </si>
  <si>
    <t>프로그램로직제어(PLC) 기본 운영</t>
    <phoneticPr fontId="9" type="noConversion"/>
  </si>
  <si>
    <t>항공기 정비원
(항공기술교육원)
부품가공원</t>
    <phoneticPr fontId="9" type="noConversion"/>
  </si>
  <si>
    <r>
      <rPr>
        <b/>
        <sz val="6"/>
        <color theme="1"/>
        <rFont val="맑은 고딕"/>
        <family val="3"/>
        <charset val="129"/>
        <scheme val="minor"/>
      </rPr>
      <t>항공기 정비원</t>
    </r>
    <r>
      <rPr>
        <sz val="6"/>
        <color theme="1"/>
        <rFont val="맑은 고딕"/>
        <family val="3"/>
        <charset val="129"/>
        <scheme val="minor"/>
      </rPr>
      <t xml:space="preserve">
(항공기술교육원, 타학과융합)
</t>
    </r>
    <r>
      <rPr>
        <b/>
        <sz val="6"/>
        <color theme="1"/>
        <rFont val="맑은 고딕"/>
        <family val="3"/>
        <charset val="129"/>
        <scheme val="minor"/>
      </rPr>
      <t>화학분석기술자</t>
    </r>
    <r>
      <rPr>
        <sz val="6"/>
        <color theme="1"/>
        <rFont val="맑은 고딕"/>
        <family val="3"/>
        <charset val="129"/>
        <scheme val="minor"/>
      </rPr>
      <t xml:space="preserve">
</t>
    </r>
    <r>
      <rPr>
        <b/>
        <sz val="6"/>
        <color theme="1"/>
        <rFont val="맑은 고딕"/>
        <family val="3"/>
        <charset val="129"/>
        <scheme val="minor"/>
      </rPr>
      <t>바이오화학제품제조기술자</t>
    </r>
    <phoneticPr fontId="9" type="noConversion"/>
  </si>
  <si>
    <r>
      <rPr>
        <b/>
        <sz val="6"/>
        <color theme="1"/>
        <rFont val="맑은 고딕"/>
        <family val="3"/>
        <charset val="129"/>
        <scheme val="minor"/>
      </rPr>
      <t>항공기 정비원</t>
    </r>
    <r>
      <rPr>
        <sz val="6"/>
        <color theme="1"/>
        <rFont val="맑은 고딕"/>
        <family val="3"/>
        <charset val="129"/>
        <scheme val="minor"/>
      </rPr>
      <t xml:space="preserve">
(항공기술교육원. 타학과융합)
</t>
    </r>
    <r>
      <rPr>
        <b/>
        <sz val="6"/>
        <color theme="1"/>
        <rFont val="맑은 고딕"/>
        <family val="3"/>
        <charset val="129"/>
        <scheme val="minor"/>
      </rPr>
      <t>내선</t>
    </r>
    <r>
      <rPr>
        <b/>
        <sz val="6"/>
        <color theme="1"/>
        <rFont val="Yu Gothic"/>
        <family val="3"/>
        <charset val="128"/>
      </rPr>
      <t>･</t>
    </r>
    <r>
      <rPr>
        <b/>
        <sz val="6"/>
        <color theme="1"/>
        <rFont val="맑은 고딕"/>
        <family val="3"/>
        <charset val="129"/>
        <scheme val="minor"/>
      </rPr>
      <t>외선공사 시공원</t>
    </r>
    <r>
      <rPr>
        <sz val="6"/>
        <color theme="1"/>
        <rFont val="맑은 고딕"/>
        <family val="3"/>
        <charset val="129"/>
        <scheme val="minor"/>
      </rPr>
      <t xml:space="preserve">
(전기공사 산업기사 연계)
</t>
    </r>
    <r>
      <rPr>
        <b/>
        <sz val="6"/>
        <color theme="1"/>
        <rFont val="맑은 고딕"/>
        <family val="3"/>
        <charset val="129"/>
        <scheme val="minor"/>
      </rPr>
      <t>전기시공원</t>
    </r>
    <r>
      <rPr>
        <sz val="6"/>
        <color theme="1"/>
        <rFont val="맑은 고딕"/>
        <family val="3"/>
        <charset val="129"/>
        <scheme val="minor"/>
      </rPr>
      <t xml:space="preserve">
(도제사업, 전기시공L2자격 연계)</t>
    </r>
    <phoneticPr fontId="9" type="noConversion"/>
  </si>
  <si>
    <r>
      <rPr>
        <b/>
        <sz val="6"/>
        <color theme="1"/>
        <rFont val="맑은 고딕"/>
        <family val="3"/>
        <charset val="129"/>
        <scheme val="minor"/>
      </rPr>
      <t>항공기 정비원</t>
    </r>
    <r>
      <rPr>
        <sz val="6"/>
        <color theme="1"/>
        <rFont val="맑은 고딕"/>
        <family val="3"/>
        <charset val="129"/>
        <scheme val="minor"/>
      </rPr>
      <t xml:space="preserve">
(항공기술교육원. 타학과융합)
</t>
    </r>
    <r>
      <rPr>
        <b/>
        <sz val="6"/>
        <color theme="1"/>
        <rFont val="맑은 고딕"/>
        <family val="3"/>
        <charset val="129"/>
        <scheme val="minor"/>
      </rPr>
      <t>지적 및 측량 기술자</t>
    </r>
    <r>
      <rPr>
        <sz val="6"/>
        <color theme="1"/>
        <rFont val="맑은 고딕"/>
        <family val="3"/>
        <charset val="129"/>
        <scheme val="minor"/>
      </rPr>
      <t xml:space="preserve">
</t>
    </r>
    <r>
      <rPr>
        <b/>
        <sz val="6"/>
        <color theme="1"/>
        <rFont val="맑은 고딕"/>
        <family val="3"/>
        <charset val="129"/>
        <scheme val="minor"/>
      </rPr>
      <t>건축설계 기초 기술자</t>
    </r>
    <phoneticPr fontId="9" type="noConversion"/>
  </si>
  <si>
    <r>
      <t>과정2
내선</t>
    </r>
    <r>
      <rPr>
        <sz val="10"/>
        <rFont val="Yu Gothic"/>
        <family val="3"/>
        <charset val="128"/>
      </rPr>
      <t>･</t>
    </r>
    <r>
      <rPr>
        <sz val="10"/>
        <rFont val="맑은 고딕"/>
        <family val="3"/>
        <charset val="129"/>
        <scheme val="minor"/>
      </rPr>
      <t>외선공사 시공원</t>
    </r>
    <phoneticPr fontId="9" type="noConversion"/>
  </si>
  <si>
    <t>시퀀스 회로 제어 운영</t>
    <phoneticPr fontId="9" type="noConversion"/>
  </si>
  <si>
    <t>원료칭량</t>
  </si>
  <si>
    <t>1703060111_21v1</t>
    <phoneticPr fontId="9" type="noConversion"/>
  </si>
  <si>
    <t>원·부재료 관리</t>
    <phoneticPr fontId="9" type="noConversion"/>
  </si>
  <si>
    <t>1705020109_13v1</t>
  </si>
  <si>
    <t>제조위생관리</t>
  </si>
  <si>
    <t>1705010135_21v2</t>
  </si>
  <si>
    <t>시험물질관리</t>
  </si>
  <si>
    <t>1705010701_21v3</t>
  </si>
  <si>
    <t>안전점검</t>
    <phoneticPr fontId="9" type="noConversion"/>
  </si>
  <si>
    <t>1701010120_23v4</t>
    <phoneticPr fontId="9" type="noConversion"/>
  </si>
  <si>
    <t>화학제품 이화학분석 품질검사</t>
    <phoneticPr fontId="9" type="noConversion"/>
  </si>
  <si>
    <t>1701010402_21v1</t>
    <phoneticPr fontId="9" type="noConversion"/>
  </si>
  <si>
    <t>화학제품 기기분석 품질검사</t>
    <phoneticPr fontId="9" type="noConversion"/>
  </si>
  <si>
    <t>1701010403_21v1</t>
    <phoneticPr fontId="9" type="noConversion"/>
  </si>
  <si>
    <t>화학 공정 유지 운영
(과정1)</t>
    <phoneticPr fontId="9" type="noConversion"/>
  </si>
  <si>
    <t>공정 흐름도 파악</t>
    <phoneticPr fontId="9" type="noConversion"/>
  </si>
  <si>
    <t>1701020310_22v3</t>
    <phoneticPr fontId="9" type="noConversion"/>
  </si>
  <si>
    <t>계장설비 점검</t>
    <phoneticPr fontId="9" type="noConversion"/>
  </si>
  <si>
    <t>1701020318_22v3</t>
    <phoneticPr fontId="9" type="noConversion"/>
  </si>
  <si>
    <t>바이오 화학 제품 제조
(과정2,3)</t>
    <phoneticPr fontId="9" type="noConversion"/>
  </si>
  <si>
    <t>배양원료준비</t>
    <phoneticPr fontId="9" type="noConversion"/>
  </si>
  <si>
    <t>1705020102_16v2</t>
    <phoneticPr fontId="9" type="noConversion"/>
  </si>
  <si>
    <t>배양시스템 멸균</t>
    <phoneticPr fontId="9" type="noConversion"/>
  </si>
  <si>
    <t>1705020103_16v2</t>
  </si>
  <si>
    <t>배양</t>
    <phoneticPr fontId="9" type="noConversion"/>
  </si>
  <si>
    <t>1705020104_16v2</t>
  </si>
  <si>
    <t>회수</t>
    <phoneticPr fontId="9" type="noConversion"/>
  </si>
  <si>
    <t>1705020113_16v2</t>
  </si>
  <si>
    <t>환경·안전점검</t>
  </si>
  <si>
    <t>1705020110_13v1</t>
  </si>
  <si>
    <t>균주보관</t>
    <phoneticPr fontId="9" type="noConversion"/>
  </si>
  <si>
    <t>1705020111_16v2</t>
  </si>
  <si>
    <t>품질분석</t>
    <phoneticPr fontId="9" type="noConversion"/>
  </si>
  <si>
    <t>1705020306_16v2</t>
    <phoneticPr fontId="9" type="noConversion"/>
  </si>
  <si>
    <t>시설관리</t>
    <phoneticPr fontId="9" type="noConversion"/>
  </si>
  <si>
    <t>1705020309_16v2</t>
    <phoneticPr fontId="9" type="noConversion"/>
  </si>
  <si>
    <t>화학 공정 유지 운영
(과정2,3)</t>
    <phoneticPr fontId="9" type="noConversion"/>
  </si>
  <si>
    <t>공정물질 특성 파악</t>
    <phoneticPr fontId="9" type="noConversion"/>
  </si>
  <si>
    <t>1701020311_22v3</t>
    <phoneticPr fontId="9" type="noConversion"/>
  </si>
  <si>
    <t>화학공정설비운전</t>
    <phoneticPr fontId="9" type="noConversion"/>
  </si>
  <si>
    <t>1701020320_16v1</t>
    <phoneticPr fontId="9" type="noConversion"/>
  </si>
  <si>
    <t>바이오 의약품 제조
(과정2)</t>
    <phoneticPr fontId="9" type="noConversion"/>
  </si>
  <si>
    <t>생산 세포 준비</t>
    <phoneticPr fontId="9" type="noConversion"/>
  </si>
  <si>
    <t>1705010138_23v1</t>
    <phoneticPr fontId="9" type="noConversion"/>
  </si>
  <si>
    <t>세척·멸균</t>
    <phoneticPr fontId="9" type="noConversion"/>
  </si>
  <si>
    <t>1705010112_23v3</t>
    <phoneticPr fontId="9" type="noConversion"/>
  </si>
  <si>
    <t>배양 기초</t>
    <phoneticPr fontId="9" type="noConversion"/>
  </si>
  <si>
    <t>1705010139_23v1</t>
    <phoneticPr fontId="9" type="noConversion"/>
  </si>
  <si>
    <t>분리·정제 준비</t>
    <phoneticPr fontId="9" type="noConversion"/>
  </si>
  <si>
    <t>1705010140_23v1</t>
    <phoneticPr fontId="9" type="noConversion"/>
  </si>
  <si>
    <r>
      <t>제조용수</t>
    </r>
    <r>
      <rPr>
        <sz val="11"/>
        <color theme="1"/>
        <rFont val="Yu Gothic"/>
        <family val="3"/>
        <charset val="128"/>
      </rPr>
      <t>･</t>
    </r>
    <r>
      <rPr>
        <sz val="11"/>
        <color theme="1"/>
        <rFont val="맑은 고딕"/>
        <family val="3"/>
        <charset val="129"/>
        <scheme val="major"/>
      </rPr>
      <t>가스 시험</t>
    </r>
    <phoneticPr fontId="9" type="noConversion"/>
  </si>
  <si>
    <t>1705010703_23v4</t>
    <phoneticPr fontId="9" type="noConversion"/>
  </si>
  <si>
    <t>환경 모니터링</t>
    <phoneticPr fontId="9" type="noConversion"/>
  </si>
  <si>
    <t>1705010705_23v3</t>
    <phoneticPr fontId="9" type="noConversion"/>
  </si>
  <si>
    <t>최종원액 제조</t>
    <phoneticPr fontId="9" type="noConversion"/>
  </si>
  <si>
    <t>1705010115_16v2</t>
    <phoneticPr fontId="9" type="noConversion"/>
  </si>
  <si>
    <t>제형화</t>
    <phoneticPr fontId="9" type="noConversion"/>
  </si>
  <si>
    <t>1705010116_16v2</t>
    <phoneticPr fontId="9" type="noConversion"/>
  </si>
  <si>
    <t>QC시험 운영</t>
    <phoneticPr fontId="9" type="noConversion"/>
  </si>
  <si>
    <t>1705010702_21v3</t>
    <phoneticPr fontId="9" type="noConversion"/>
  </si>
  <si>
    <t>바이오의약품 법규</t>
    <phoneticPr fontId="9" type="noConversion"/>
  </si>
  <si>
    <t>1705010718_21v2</t>
    <phoneticPr fontId="9" type="noConversion"/>
  </si>
  <si>
    <t>품질시험</t>
    <phoneticPr fontId="9" type="noConversion"/>
  </si>
  <si>
    <t>1705010719_23v1</t>
    <phoneticPr fontId="9" type="noConversion"/>
  </si>
  <si>
    <t>환경·안전·위생관리</t>
    <phoneticPr fontId="9" type="noConversion"/>
  </si>
  <si>
    <t>1703060101_21v1</t>
    <phoneticPr fontId="9" type="noConversion"/>
  </si>
  <si>
    <t>제품표준서 관리</t>
    <phoneticPr fontId="9" type="noConversion"/>
  </si>
  <si>
    <t>1703060207_21v1</t>
    <phoneticPr fontId="9" type="noConversion"/>
  </si>
  <si>
    <t>안정성 시험</t>
    <phoneticPr fontId="9" type="noConversion"/>
  </si>
  <si>
    <t>1705010704_21v3</t>
    <phoneticPr fontId="9" type="noConversion"/>
  </si>
  <si>
    <t>화학 분석
(과정3)</t>
    <phoneticPr fontId="9" type="noConversion"/>
  </si>
  <si>
    <t>시료전처리</t>
    <phoneticPr fontId="9" type="noConversion"/>
  </si>
  <si>
    <t>1701010103_23v4</t>
  </si>
  <si>
    <t>크로마토그래피 분석</t>
    <phoneticPr fontId="9" type="noConversion"/>
  </si>
  <si>
    <t>1701010115_23v3</t>
  </si>
  <si>
    <t>분광 분석</t>
    <phoneticPr fontId="9" type="noConversion"/>
  </si>
  <si>
    <t>1701010114_23v3</t>
    <phoneticPr fontId="9" type="noConversion"/>
  </si>
  <si>
    <t>분석업무지시서 확인</t>
    <phoneticPr fontId="9" type="noConversion"/>
  </si>
  <si>
    <t>1701010122_23v2</t>
    <phoneticPr fontId="9" type="noConversion"/>
  </si>
  <si>
    <t>실험실 환경·안전점검</t>
    <phoneticPr fontId="9" type="noConversion"/>
  </si>
  <si>
    <t>1701010130_23v2</t>
  </si>
  <si>
    <t>분석실험 준비</t>
    <phoneticPr fontId="9" type="noConversion"/>
  </si>
  <si>
    <t>1701010127_23v2</t>
  </si>
  <si>
    <t>이화학 분석</t>
    <phoneticPr fontId="9" type="noConversion"/>
  </si>
  <si>
    <t>1701010113_23v3</t>
  </si>
  <si>
    <t>분석장비 관리</t>
    <phoneticPr fontId="9" type="noConversion"/>
  </si>
  <si>
    <t>1701010107_23v3</t>
    <phoneticPr fontId="9" type="noConversion"/>
  </si>
  <si>
    <t>화학 물질 관리
(과정3)</t>
    <phoneticPr fontId="9" type="noConversion"/>
  </si>
  <si>
    <t>GHS-MSDS 파악</t>
    <phoneticPr fontId="9" type="noConversion"/>
  </si>
  <si>
    <t>1701010310_16v2</t>
    <phoneticPr fontId="9" type="noConversion"/>
  </si>
  <si>
    <t>화학물질 사고피해 방지</t>
    <phoneticPr fontId="9" type="noConversion"/>
  </si>
  <si>
    <t>1701010308_16v2</t>
    <phoneticPr fontId="9" type="noConversion"/>
  </si>
  <si>
    <t>화학공업기초실험(고시외)</t>
    <phoneticPr fontId="9" type="noConversion"/>
  </si>
  <si>
    <t>측량Ⅰ(고시외)
(과정2)</t>
    <phoneticPr fontId="9" type="noConversion"/>
  </si>
  <si>
    <t>측량Ⅱ(고시외)
(과정2)</t>
    <phoneticPr fontId="9" type="noConversion"/>
  </si>
  <si>
    <t>측량
(과정2)</t>
    <phoneticPr fontId="9" type="noConversion"/>
  </si>
  <si>
    <t>철근 콘크리트 시공
(과정3)</t>
    <phoneticPr fontId="9" type="noConversion"/>
  </si>
  <si>
    <r>
      <t>전기</t>
    </r>
    <r>
      <rPr>
        <sz val="10"/>
        <rFont val="Yu Gothic"/>
        <family val="3"/>
        <charset val="128"/>
      </rPr>
      <t>･</t>
    </r>
    <r>
      <rPr>
        <sz val="10"/>
        <rFont val="맑은 고딕"/>
        <family val="3"/>
        <charset val="129"/>
        <scheme val="minor"/>
      </rPr>
      <t>전자</t>
    </r>
    <phoneticPr fontId="9" type="noConversion"/>
  </si>
  <si>
    <t>화학공업기초실험(고시외)
(공통)</t>
    <phoneticPr fontId="9" type="noConversion"/>
  </si>
  <si>
    <t>GMP 기초(고시외)
(공통)</t>
    <phoneticPr fontId="9" type="noConversion"/>
  </si>
  <si>
    <t>GMP 실무(고시외)
(과정2)</t>
    <phoneticPr fontId="9" type="noConversion"/>
  </si>
  <si>
    <t>전문공통</t>
    <phoneticPr fontId="9" type="noConversion"/>
  </si>
  <si>
    <t>노동 인권과 산업 안전 보건</t>
    <phoneticPr fontId="9" type="noConversion"/>
  </si>
  <si>
    <r>
      <t xml:space="preserve">기계 기초 공작
</t>
    </r>
    <r>
      <rPr>
        <sz val="10"/>
        <color theme="1"/>
        <rFont val="맑은 고딕"/>
        <family val="3"/>
        <charset val="129"/>
        <scheme val="minor"/>
      </rPr>
      <t>(로봇과 공학세계)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</si>
</sst>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8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0"/>
      <color rgb="FFFF0000"/>
      <name val="맑은 고딕"/>
      <family val="3"/>
      <charset val="129"/>
      <scheme val="minor"/>
    </font>
    <font>
      <sz val="10"/>
      <name val="Yu Gothic"/>
      <family val="3"/>
      <charset val="128"/>
    </font>
    <font>
      <sz val="9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0"/>
      <color theme="1"/>
      <name val="Yu Gothic"/>
      <family val="3"/>
      <charset val="128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rgb="FFFF0000"/>
      <name val="함초롱바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9"/>
      <name val="함초롱바탕"/>
      <family val="3"/>
      <charset val="129"/>
    </font>
    <font>
      <b/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9"/>
      <color theme="1"/>
      <name val="함초롱바탕"/>
      <family val="3"/>
      <charset val="129"/>
    </font>
    <font>
      <b/>
      <sz val="6"/>
      <color theme="1"/>
      <name val="맑은 고딕"/>
      <family val="3"/>
      <charset val="129"/>
      <scheme val="minor"/>
    </font>
    <font>
      <b/>
      <sz val="6"/>
      <color theme="1"/>
      <name val="Yu Gothic"/>
      <family val="3"/>
      <charset val="128"/>
    </font>
    <font>
      <b/>
      <sz val="11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b/>
      <i/>
      <sz val="11"/>
      <color rgb="FF0070C0"/>
      <name val="맑은 고딕"/>
      <family val="3"/>
      <charset val="129"/>
      <scheme val="major"/>
    </font>
    <font>
      <i/>
      <sz val="11"/>
      <color theme="1"/>
      <name val="맑은 고딕"/>
      <family val="3"/>
      <charset val="129"/>
      <scheme val="major"/>
    </font>
    <font>
      <i/>
      <sz val="11"/>
      <color rgb="FF0070C0"/>
      <name val="맑은 고딕"/>
      <family val="3"/>
      <charset val="129"/>
      <scheme val="major"/>
    </font>
    <font>
      <sz val="11"/>
      <color theme="1"/>
      <name val="Yu Gothic"/>
      <family val="3"/>
      <charset val="128"/>
    </font>
    <font>
      <sz val="8"/>
      <color theme="1"/>
      <name val="맑은 고딕"/>
      <family val="3"/>
      <charset val="129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20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hair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2" fillId="0" borderId="0"/>
  </cellStyleXfs>
  <cellXfs count="119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31" fillId="0" borderId="20" xfId="0" applyFont="1" applyBorder="1" applyAlignment="1">
      <alignment vertical="center"/>
    </xf>
    <xf numFmtId="0" fontId="13" fillId="10" borderId="89" xfId="6" applyFont="1" applyFill="1" applyBorder="1" applyAlignment="1" applyProtection="1">
      <alignment horizontal="center" vertical="center" wrapText="1"/>
    </xf>
    <xf numFmtId="0" fontId="12" fillId="12" borderId="90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32" fillId="12" borderId="91" xfId="0" applyFont="1" applyFill="1" applyBorder="1" applyAlignment="1" applyProtection="1">
      <alignment horizontal="center" vertical="center"/>
      <protection locked="0"/>
    </xf>
    <xf numFmtId="0" fontId="25" fillId="3" borderId="55" xfId="3" applyFont="1" applyBorder="1" applyAlignment="1" applyProtection="1">
      <alignment horizontal="center" vertical="center"/>
      <protection locked="0"/>
    </xf>
    <xf numFmtId="0" fontId="28" fillId="11" borderId="91" xfId="7" applyFont="1" applyFill="1" applyBorder="1" applyAlignment="1" applyProtection="1">
      <alignment horizontal="center" vertical="center" wrapText="1"/>
    </xf>
    <xf numFmtId="176" fontId="36" fillId="16" borderId="91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176" fontId="7" fillId="0" borderId="10" xfId="0" applyNumberFormat="1" applyFont="1" applyBorder="1" applyAlignment="1">
      <alignment horizontal="right" vertical="center"/>
    </xf>
    <xf numFmtId="176" fontId="7" fillId="0" borderId="14" xfId="0" applyNumberFormat="1" applyFont="1" applyBorder="1" applyAlignment="1">
      <alignment horizontal="right" vertical="center"/>
    </xf>
    <xf numFmtId="176" fontId="7" fillId="0" borderId="100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0" xfId="0" applyFont="1" applyFill="1" applyBorder="1" applyAlignment="1" applyProtection="1">
      <alignment horizontal="center" vertical="center"/>
      <protection locked="0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4" xfId="0" applyFont="1" applyBorder="1" applyAlignment="1" applyProtection="1">
      <alignment horizontal="center" vertical="center"/>
      <protection locked="0"/>
    </xf>
    <xf numFmtId="0" fontId="12" fillId="0" borderId="104" xfId="0" applyFont="1" applyBorder="1" applyAlignment="1" applyProtection="1">
      <alignment horizontal="center" vertical="center" shrinkToFit="1"/>
      <protection locked="0"/>
    </xf>
    <xf numFmtId="0" fontId="32" fillId="0" borderId="7" xfId="0" applyFont="1" applyBorder="1" applyAlignment="1" applyProtection="1">
      <alignment horizontal="center" vertical="center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3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88" xfId="4" applyFont="1" applyFill="1" applyBorder="1" applyAlignment="1" applyProtection="1">
      <alignment horizontal="center" vertical="center" wrapText="1"/>
    </xf>
    <xf numFmtId="0" fontId="13" fillId="15" borderId="94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3" xfId="4" applyFont="1" applyFill="1" applyBorder="1" applyAlignment="1" applyProtection="1">
      <alignment horizontal="center" vertical="center" wrapText="1"/>
    </xf>
    <xf numFmtId="0" fontId="22" fillId="15" borderId="37" xfId="4" applyFont="1" applyFill="1" applyBorder="1" applyAlignment="1" applyProtection="1">
      <alignment horizontal="center" vertical="center" wrapText="1"/>
    </xf>
    <xf numFmtId="0" fontId="22" fillId="15" borderId="38" xfId="4" applyFont="1" applyFill="1" applyBorder="1" applyAlignment="1" applyProtection="1">
      <alignment horizontal="center" vertical="center" shrinkToFit="1"/>
    </xf>
    <xf numFmtId="0" fontId="22" fillId="15" borderId="39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13" fillId="15" borderId="93" xfId="4" applyFont="1" applyFill="1" applyBorder="1" applyAlignment="1" applyProtection="1">
      <alignment horizontal="center" vertical="center" shrinkToFit="1"/>
    </xf>
    <xf numFmtId="0" fontId="13" fillId="6" borderId="72" xfId="4" applyFont="1" applyFill="1" applyBorder="1" applyAlignment="1" applyProtection="1">
      <alignment horizontal="center" vertical="center" wrapText="1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20" borderId="120" xfId="16" applyFont="1" applyFill="1" applyBorder="1" applyAlignment="1">
      <alignment horizontal="center" vertical="center"/>
    </xf>
    <xf numFmtId="0" fontId="35" fillId="0" borderId="121" xfId="16" applyFont="1" applyBorder="1" applyAlignment="1">
      <alignment vertical="center"/>
    </xf>
    <xf numFmtId="0" fontId="35" fillId="0" borderId="27" xfId="16" applyFont="1" applyBorder="1" applyAlignment="1">
      <alignment vertical="center"/>
    </xf>
    <xf numFmtId="0" fontId="35" fillId="0" borderId="24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23" xfId="16" applyFont="1" applyBorder="1" applyAlignment="1">
      <alignment vertical="center"/>
    </xf>
    <xf numFmtId="0" fontId="35" fillId="0" borderId="20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28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18" xfId="16" applyFont="1" applyBorder="1" applyAlignment="1">
      <alignment vertical="center"/>
    </xf>
    <xf numFmtId="0" fontId="35" fillId="22" borderId="134" xfId="16" applyFont="1" applyFill="1" applyBorder="1" applyAlignment="1">
      <alignment horizontal="center" vertical="center" wrapText="1"/>
    </xf>
    <xf numFmtId="0" fontId="35" fillId="22" borderId="135" xfId="16" applyFont="1" applyFill="1" applyBorder="1" applyAlignment="1">
      <alignment horizontal="center" vertical="center" wrapText="1"/>
    </xf>
    <xf numFmtId="0" fontId="48" fillId="22" borderId="135" xfId="16" applyFont="1" applyFill="1" applyBorder="1" applyAlignment="1">
      <alignment horizontal="center" vertical="center" wrapText="1"/>
    </xf>
    <xf numFmtId="0" fontId="48" fillId="22" borderId="136" xfId="16" applyFont="1" applyFill="1" applyBorder="1" applyAlignment="1">
      <alignment horizontal="center" vertical="center" wrapText="1"/>
    </xf>
    <xf numFmtId="0" fontId="35" fillId="0" borderId="20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9" fillId="0" borderId="140" xfId="16" applyFont="1" applyBorder="1" applyAlignment="1">
      <alignment horizontal="center" vertical="center" wrapText="1"/>
    </xf>
    <xf numFmtId="0" fontId="49" fillId="0" borderId="142" xfId="16" applyFont="1" applyBorder="1" applyAlignment="1">
      <alignment horizontal="center" vertical="center" wrapText="1"/>
    </xf>
    <xf numFmtId="0" fontId="49" fillId="0" borderId="146" xfId="16" applyFont="1" applyBorder="1" applyAlignment="1">
      <alignment horizontal="center" vertical="center" wrapText="1"/>
    </xf>
    <xf numFmtId="0" fontId="49" fillId="0" borderId="147" xfId="16" applyFont="1" applyBorder="1" applyAlignment="1">
      <alignment horizontal="center" vertical="center" wrapText="1"/>
    </xf>
    <xf numFmtId="0" fontId="49" fillId="0" borderId="150" xfId="16" applyFont="1" applyBorder="1" applyAlignment="1">
      <alignment horizontal="center" vertical="center" wrapText="1"/>
    </xf>
    <xf numFmtId="0" fontId="49" fillId="0" borderId="151" xfId="16" applyFont="1" applyBorder="1" applyAlignment="1">
      <alignment horizontal="center" vertical="center" wrapText="1"/>
    </xf>
    <xf numFmtId="0" fontId="49" fillId="0" borderId="153" xfId="16" applyFont="1" applyBorder="1" applyAlignment="1">
      <alignment horizontal="center" vertical="center" wrapText="1"/>
    </xf>
    <xf numFmtId="0" fontId="35" fillId="0" borderId="153" xfId="16" applyFont="1" applyBorder="1" applyAlignment="1">
      <alignment horizontal="center" vertical="center" wrapText="1"/>
    </xf>
    <xf numFmtId="0" fontId="49" fillId="0" borderId="154" xfId="16" applyFont="1" applyBorder="1" applyAlignment="1">
      <alignment horizontal="center" vertical="center" wrapText="1"/>
    </xf>
    <xf numFmtId="0" fontId="35" fillId="0" borderId="147" xfId="16" applyFont="1" applyBorder="1" applyAlignment="1">
      <alignment horizontal="center" vertical="center" wrapText="1"/>
    </xf>
    <xf numFmtId="0" fontId="35" fillId="0" borderId="150" xfId="16" applyFont="1" applyBorder="1" applyAlignment="1">
      <alignment horizontal="center" vertical="center" wrapText="1"/>
    </xf>
    <xf numFmtId="0" fontId="49" fillId="0" borderId="126" xfId="16" applyFont="1" applyBorder="1" applyAlignment="1">
      <alignment horizontal="center" vertical="center" wrapText="1"/>
    </xf>
    <xf numFmtId="0" fontId="51" fillId="22" borderId="126" xfId="16" applyFont="1" applyFill="1" applyBorder="1" applyAlignment="1">
      <alignment horizontal="center" vertical="center" wrapText="1"/>
    </xf>
    <xf numFmtId="0" fontId="52" fillId="0" borderId="147" xfId="16" applyFont="1" applyBorder="1" applyAlignment="1">
      <alignment horizontal="center" vertical="center" wrapText="1"/>
    </xf>
    <xf numFmtId="0" fontId="52" fillId="0" borderId="125" xfId="16" applyFont="1" applyBorder="1" applyAlignment="1">
      <alignment horizontal="center" vertical="center" wrapText="1"/>
    </xf>
    <xf numFmtId="0" fontId="51" fillId="0" borderId="126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3" fillId="0" borderId="0" xfId="16" applyFont="1" applyBorder="1" applyAlignment="1">
      <alignment horizontal="center" vertical="center"/>
    </xf>
    <xf numFmtId="0" fontId="47" fillId="0" borderId="126" xfId="16" applyFont="1" applyBorder="1" applyAlignment="1">
      <alignment horizontal="center" vertical="center"/>
    </xf>
    <xf numFmtId="0" fontId="47" fillId="21" borderId="147" xfId="16" applyFont="1" applyFill="1" applyBorder="1" applyAlignment="1">
      <alignment horizontal="center" vertical="center"/>
    </xf>
    <xf numFmtId="0" fontId="47" fillId="21" borderId="125" xfId="16" applyFont="1" applyFill="1" applyBorder="1" applyAlignment="1">
      <alignment horizontal="center" vertical="center" wrapText="1"/>
    </xf>
    <xf numFmtId="0" fontId="53" fillId="0" borderId="147" xfId="16" applyFont="1" applyBorder="1" applyAlignment="1">
      <alignment horizontal="center" vertical="center" wrapText="1"/>
    </xf>
    <xf numFmtId="0" fontId="53" fillId="0" borderId="126" xfId="16" applyFont="1" applyBorder="1" applyAlignment="1">
      <alignment horizontal="center" vertical="center" wrapText="1"/>
    </xf>
    <xf numFmtId="0" fontId="47" fillId="0" borderId="147" xfId="16" applyFont="1" applyBorder="1" applyAlignment="1">
      <alignment horizontal="center" vertical="center" wrapText="1"/>
    </xf>
    <xf numFmtId="0" fontId="47" fillId="0" borderId="126" xfId="16" applyFont="1" applyBorder="1" applyAlignment="1">
      <alignment horizontal="center" vertical="center" wrapText="1"/>
    </xf>
    <xf numFmtId="0" fontId="35" fillId="0" borderId="147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7" fillId="21" borderId="126" xfId="16" applyFont="1" applyFill="1" applyBorder="1" applyAlignment="1">
      <alignment horizontal="center" vertical="center"/>
    </xf>
    <xf numFmtId="0" fontId="47" fillId="0" borderId="125" xfId="16" applyFont="1" applyBorder="1" applyAlignment="1">
      <alignment horizontal="center" vertical="center"/>
    </xf>
    <xf numFmtId="0" fontId="47" fillId="0" borderId="147" xfId="16" applyFont="1" applyBorder="1" applyAlignment="1">
      <alignment horizontal="center" vertical="center"/>
    </xf>
    <xf numFmtId="0" fontId="54" fillId="0" borderId="147" xfId="16" applyFont="1" applyBorder="1" applyAlignment="1">
      <alignment horizontal="center" vertical="center"/>
    </xf>
    <xf numFmtId="0" fontId="54" fillId="0" borderId="126" xfId="16" applyFont="1" applyBorder="1" applyAlignment="1">
      <alignment horizontal="center" vertical="center"/>
    </xf>
    <xf numFmtId="0" fontId="35" fillId="0" borderId="133" xfId="16" applyFont="1" applyBorder="1" applyAlignment="1">
      <alignment vertical="center"/>
    </xf>
    <xf numFmtId="0" fontId="35" fillId="0" borderId="131" xfId="16" applyFont="1" applyBorder="1" applyAlignment="1">
      <alignment vertical="center"/>
    </xf>
    <xf numFmtId="0" fontId="35" fillId="0" borderId="158" xfId="16" applyFont="1" applyBorder="1" applyAlignment="1">
      <alignment vertical="center"/>
    </xf>
    <xf numFmtId="0" fontId="35" fillId="0" borderId="159" xfId="16" applyFont="1" applyBorder="1" applyAlignment="1">
      <alignment vertical="center"/>
    </xf>
    <xf numFmtId="0" fontId="35" fillId="0" borderId="108" xfId="16" applyFont="1" applyBorder="1" applyAlignment="1">
      <alignment vertical="center"/>
    </xf>
    <xf numFmtId="0" fontId="35" fillId="0" borderId="129" xfId="16" applyFont="1" applyBorder="1" applyAlignment="1">
      <alignment vertical="center"/>
    </xf>
    <xf numFmtId="0" fontId="35" fillId="0" borderId="161" xfId="16" applyFont="1" applyBorder="1" applyAlignment="1">
      <alignment vertical="center"/>
    </xf>
    <xf numFmtId="0" fontId="35" fillId="0" borderId="162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0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5" borderId="163" xfId="4" applyFont="1" applyFill="1" applyBorder="1" applyAlignment="1" applyProtection="1">
      <alignment horizontal="center" vertical="center" wrapText="1"/>
    </xf>
    <xf numFmtId="0" fontId="13" fillId="15" borderId="96" xfId="4" applyFont="1" applyFill="1" applyBorder="1" applyAlignment="1" applyProtection="1">
      <alignment horizontal="center" vertical="center" wrapText="1"/>
    </xf>
    <xf numFmtId="0" fontId="22" fillId="15" borderId="68" xfId="4" applyFont="1" applyFill="1" applyBorder="1" applyAlignment="1" applyProtection="1">
      <alignment horizontal="center" vertical="center" wrapText="1"/>
    </xf>
    <xf numFmtId="0" fontId="22" fillId="0" borderId="95" xfId="4" applyFont="1" applyFill="1" applyBorder="1" applyAlignment="1" applyProtection="1">
      <alignment horizontal="center" vertical="center" wrapText="1"/>
    </xf>
    <xf numFmtId="0" fontId="22" fillId="15" borderId="96" xfId="4" applyFont="1" applyFill="1" applyBorder="1" applyAlignment="1" applyProtection="1">
      <alignment horizontal="center" vertical="center" wrapText="1"/>
    </xf>
    <xf numFmtId="0" fontId="22" fillId="15" borderId="43" xfId="4" applyFont="1" applyFill="1" applyBorder="1" applyAlignment="1" applyProtection="1">
      <alignment horizontal="center" vertical="center" wrapText="1"/>
    </xf>
    <xf numFmtId="0" fontId="22" fillId="15" borderId="7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22" fillId="0" borderId="88" xfId="4" applyFont="1" applyFill="1" applyBorder="1" applyAlignment="1" applyProtection="1">
      <alignment horizontal="center" vertical="center" wrapText="1"/>
    </xf>
    <xf numFmtId="0" fontId="22" fillId="15" borderId="77" xfId="4" applyFont="1" applyFill="1" applyBorder="1" applyAlignment="1" applyProtection="1">
      <alignment horizontal="center" vertical="center" wrapText="1"/>
    </xf>
    <xf numFmtId="0" fontId="22" fillId="15" borderId="61" xfId="4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6" fillId="16" borderId="91" xfId="7" applyNumberFormat="1" applyFont="1" applyFill="1" applyBorder="1" applyAlignment="1" applyProtection="1">
      <alignment horizontal="center" vertical="center" shrinkToFit="1"/>
    </xf>
    <xf numFmtId="0" fontId="22" fillId="0" borderId="54" xfId="4" applyFont="1" applyFill="1" applyBorder="1" applyAlignment="1" applyProtection="1">
      <alignment vertical="center" wrapText="1"/>
    </xf>
    <xf numFmtId="0" fontId="22" fillId="0" borderId="33" xfId="4" applyFont="1" applyFill="1" applyBorder="1" applyAlignment="1" applyProtection="1">
      <alignment vertical="center" wrapText="1"/>
    </xf>
    <xf numFmtId="0" fontId="22" fillId="15" borderId="37" xfId="4" applyFont="1" applyFill="1" applyBorder="1" applyAlignment="1" applyProtection="1">
      <alignment horizontal="center" vertical="center" shrinkToFit="1"/>
    </xf>
    <xf numFmtId="0" fontId="13" fillId="0" borderId="41" xfId="4" applyFont="1" applyFill="1" applyBorder="1" applyAlignment="1" applyProtection="1">
      <alignment vertical="center" wrapText="1"/>
    </xf>
    <xf numFmtId="0" fontId="13" fillId="15" borderId="68" xfId="4" applyFont="1" applyFill="1" applyBorder="1" applyAlignment="1" applyProtection="1">
      <alignment horizontal="center" vertical="center" wrapText="1"/>
    </xf>
    <xf numFmtId="0" fontId="13" fillId="0" borderId="33" xfId="4" applyFont="1" applyFill="1" applyBorder="1" applyAlignment="1" applyProtection="1">
      <alignment vertical="center" wrapText="1"/>
    </xf>
    <xf numFmtId="0" fontId="13" fillId="15" borderId="94" xfId="4" applyFont="1" applyFill="1" applyBorder="1" applyAlignment="1" applyProtection="1">
      <alignment horizontal="center" vertical="center" wrapText="1"/>
    </xf>
    <xf numFmtId="0" fontId="13" fillId="0" borderId="169" xfId="4" applyFont="1" applyFill="1" applyBorder="1" applyAlignment="1" applyProtection="1">
      <alignment vertical="center" wrapText="1"/>
    </xf>
    <xf numFmtId="0" fontId="13" fillId="0" borderId="54" xfId="4" applyFont="1" applyFill="1" applyBorder="1" applyAlignment="1" applyProtection="1">
      <alignment vertical="center" wrapText="1"/>
    </xf>
    <xf numFmtId="0" fontId="13" fillId="15" borderId="79" xfId="4" applyFont="1" applyFill="1" applyBorder="1" applyAlignment="1" applyProtection="1">
      <alignment horizontal="center" vertical="center" shrinkToFit="1"/>
    </xf>
    <xf numFmtId="0" fontId="13" fillId="15" borderId="79" xfId="4" applyFont="1" applyFill="1" applyBorder="1" applyAlignment="1" applyProtection="1">
      <alignment horizontal="center" vertical="center" wrapText="1"/>
    </xf>
    <xf numFmtId="0" fontId="13" fillId="15" borderId="168" xfId="4" applyFont="1" applyFill="1" applyBorder="1" applyAlignment="1" applyProtection="1">
      <alignment horizontal="center" vertical="center" wrapText="1"/>
    </xf>
    <xf numFmtId="0" fontId="13" fillId="0" borderId="46" xfId="4" applyFont="1" applyFill="1" applyBorder="1" applyAlignment="1" applyProtection="1">
      <alignment vertical="center" wrapText="1"/>
    </xf>
    <xf numFmtId="0" fontId="22" fillId="15" borderId="175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58" fillId="15" borderId="38" xfId="4" applyFont="1" applyFill="1" applyBorder="1" applyAlignment="1" applyProtection="1">
      <alignment horizontal="center" vertical="center" wrapText="1"/>
    </xf>
    <xf numFmtId="0" fontId="13" fillId="0" borderId="33" xfId="4" applyFont="1" applyFill="1" applyBorder="1" applyAlignment="1" applyProtection="1">
      <alignment horizontal="center" vertical="center" wrapText="1"/>
    </xf>
    <xf numFmtId="0" fontId="22" fillId="15" borderId="38" xfId="4" applyFont="1" applyFill="1" applyBorder="1" applyAlignment="1" applyProtection="1">
      <alignment horizontal="center" vertical="center" wrapText="1"/>
    </xf>
    <xf numFmtId="0" fontId="22" fillId="15" borderId="53" xfId="4" applyFont="1" applyFill="1" applyBorder="1" applyAlignment="1" applyProtection="1">
      <alignment horizontal="center" vertical="center" wrapText="1"/>
    </xf>
    <xf numFmtId="0" fontId="22" fillId="0" borderId="32" xfId="0" applyFont="1" applyBorder="1" applyAlignment="1" applyProtection="1">
      <alignment horizontal="center" vertical="center"/>
      <protection locked="0"/>
    </xf>
    <xf numFmtId="0" fontId="13" fillId="15" borderId="68" xfId="5" applyFont="1" applyFill="1" applyBorder="1" applyAlignment="1" applyProtection="1">
      <alignment horizontal="center" vertical="center" wrapText="1"/>
    </xf>
    <xf numFmtId="0" fontId="22" fillId="0" borderId="170" xfId="0" applyFont="1" applyBorder="1" applyAlignment="1" applyProtection="1">
      <alignment horizontal="center" vertical="center" shrinkToFit="1"/>
      <protection locked="0"/>
    </xf>
    <xf numFmtId="0" fontId="13" fillId="0" borderId="41" xfId="4" applyFont="1" applyFill="1" applyBorder="1" applyAlignment="1" applyProtection="1">
      <alignment horizontal="center" vertical="center" wrapText="1"/>
    </xf>
    <xf numFmtId="0" fontId="13" fillId="0" borderId="95" xfId="4" applyFont="1" applyFill="1" applyBorder="1" applyAlignment="1" applyProtection="1">
      <alignment horizontal="center" vertical="center" wrapText="1"/>
    </xf>
    <xf numFmtId="0" fontId="13" fillId="0" borderId="54" xfId="4" applyFont="1" applyFill="1" applyBorder="1" applyAlignment="1" applyProtection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70" xfId="4" applyFont="1" applyFill="1" applyBorder="1" applyAlignment="1" applyProtection="1">
      <alignment horizontal="center" vertical="center" wrapText="1"/>
    </xf>
    <xf numFmtId="0" fontId="13" fillId="0" borderId="88" xfId="4" applyFont="1" applyFill="1" applyBorder="1" applyAlignment="1" applyProtection="1">
      <alignment horizontal="center" vertical="center" wrapText="1"/>
    </xf>
    <xf numFmtId="0" fontId="13" fillId="0" borderId="169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0" borderId="46" xfId="4" applyFont="1" applyFill="1" applyBorder="1" applyAlignment="1" applyProtection="1">
      <alignment horizontal="center" vertical="center" wrapText="1"/>
    </xf>
    <xf numFmtId="0" fontId="22" fillId="15" borderId="13" xfId="4" applyFont="1" applyFill="1" applyBorder="1" applyAlignment="1" applyProtection="1">
      <alignment horizontal="center" vertical="center" shrinkToFit="1"/>
    </xf>
    <xf numFmtId="0" fontId="22" fillId="15" borderId="16" xfId="4" applyFont="1" applyFill="1" applyBorder="1" applyAlignment="1" applyProtection="1">
      <alignment horizontal="center" vertical="center" shrinkToFit="1"/>
    </xf>
    <xf numFmtId="0" fontId="22" fillId="15" borderId="94" xfId="4" applyFont="1" applyFill="1" applyBorder="1" applyAlignment="1" applyProtection="1">
      <alignment horizontal="center" vertical="center" wrapText="1"/>
    </xf>
    <xf numFmtId="0" fontId="22" fillId="15" borderId="39" xfId="4" applyFont="1" applyFill="1" applyBorder="1" applyAlignment="1" applyProtection="1">
      <alignment horizontal="center" vertical="center" wrapText="1"/>
    </xf>
    <xf numFmtId="0" fontId="13" fillId="15" borderId="175" xfId="4" applyFont="1" applyFill="1" applyBorder="1" applyAlignment="1" applyProtection="1">
      <alignment horizontal="center" vertical="center" wrapText="1"/>
    </xf>
    <xf numFmtId="0" fontId="22" fillId="15" borderId="59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shrinkToFit="1"/>
    </xf>
    <xf numFmtId="0" fontId="13" fillId="0" borderId="65" xfId="4" applyFont="1" applyFill="1" applyBorder="1" applyAlignment="1" applyProtection="1">
      <alignment vertical="center" wrapText="1"/>
    </xf>
    <xf numFmtId="0" fontId="13" fillId="0" borderId="88" xfId="4" applyFont="1" applyFill="1" applyBorder="1" applyAlignment="1" applyProtection="1">
      <alignment vertical="center" wrapText="1"/>
    </xf>
    <xf numFmtId="0" fontId="22" fillId="15" borderId="44" xfId="4" applyFont="1" applyFill="1" applyBorder="1" applyAlignment="1" applyProtection="1">
      <alignment horizontal="center" vertical="center" wrapText="1"/>
    </xf>
    <xf numFmtId="0" fontId="64" fillId="9" borderId="90" xfId="7" applyFont="1" applyFill="1" applyBorder="1" applyAlignment="1">
      <alignment horizontal="center" vertical="center" shrinkToFit="1"/>
    </xf>
    <xf numFmtId="0" fontId="65" fillId="0" borderId="90" xfId="0" applyFont="1" applyBorder="1" applyAlignment="1">
      <alignment horizontal="center" vertical="center"/>
    </xf>
    <xf numFmtId="176" fontId="20" fillId="9" borderId="90" xfId="7" applyNumberFormat="1" applyFont="1" applyFill="1" applyBorder="1" applyAlignment="1">
      <alignment horizontal="center" vertical="center" shrinkToFit="1"/>
    </xf>
    <xf numFmtId="0" fontId="64" fillId="0" borderId="14" xfId="7" applyFont="1" applyBorder="1" applyAlignment="1">
      <alignment horizontal="center" vertical="center" shrinkToFit="1"/>
    </xf>
    <xf numFmtId="0" fontId="64" fillId="0" borderId="14" xfId="0" applyFont="1" applyBorder="1" applyAlignment="1">
      <alignment horizontal="center" vertical="center" wrapText="1"/>
    </xf>
    <xf numFmtId="0" fontId="65" fillId="0" borderId="14" xfId="0" applyFont="1" applyBorder="1" applyAlignment="1">
      <alignment horizontal="center" vertical="center"/>
    </xf>
    <xf numFmtId="176" fontId="20" fillId="9" borderId="14" xfId="7" applyNumberFormat="1" applyFont="1" applyFill="1" applyBorder="1" applyAlignment="1">
      <alignment horizontal="center" vertical="center" shrinkToFit="1"/>
    </xf>
    <xf numFmtId="0" fontId="64" fillId="19" borderId="14" xfId="7" applyFont="1" applyFill="1" applyBorder="1" applyAlignment="1">
      <alignment horizontal="center" vertical="center" shrinkToFit="1"/>
    </xf>
    <xf numFmtId="0" fontId="64" fillId="9" borderId="14" xfId="7" applyFont="1" applyFill="1" applyBorder="1" applyAlignment="1">
      <alignment horizontal="center" vertical="center" shrinkToFit="1"/>
    </xf>
    <xf numFmtId="176" fontId="20" fillId="19" borderId="14" xfId="7" applyNumberFormat="1" applyFont="1" applyFill="1" applyBorder="1" applyAlignment="1">
      <alignment horizontal="center" vertical="center" shrinkToFit="1"/>
    </xf>
    <xf numFmtId="0" fontId="66" fillId="9" borderId="90" xfId="7" applyFont="1" applyFill="1" applyBorder="1" applyAlignment="1">
      <alignment horizontal="center" vertical="center" shrinkToFit="1"/>
    </xf>
    <xf numFmtId="0" fontId="66" fillId="0" borderId="90" xfId="0" applyFont="1" applyBorder="1" applyAlignment="1">
      <alignment horizontal="center" vertical="center" wrapText="1"/>
    </xf>
    <xf numFmtId="0" fontId="66" fillId="0" borderId="90" xfId="0" applyFont="1" applyBorder="1" applyAlignment="1">
      <alignment horizontal="center" vertical="center"/>
    </xf>
    <xf numFmtId="176" fontId="37" fillId="9" borderId="90" xfId="7" applyNumberFormat="1" applyFont="1" applyFill="1" applyBorder="1" applyAlignment="1">
      <alignment horizontal="center" vertical="center" shrinkToFit="1"/>
    </xf>
    <xf numFmtId="176" fontId="7" fillId="0" borderId="90" xfId="0" applyNumberFormat="1" applyFont="1" applyBorder="1">
      <alignment vertical="center"/>
    </xf>
    <xf numFmtId="176" fontId="7" fillId="0" borderId="29" xfId="0" applyNumberFormat="1" applyFont="1" applyBorder="1">
      <alignment vertical="center"/>
    </xf>
    <xf numFmtId="0" fontId="66" fillId="0" borderId="14" xfId="7" applyFont="1" applyBorder="1" applyAlignment="1">
      <alignment horizontal="center" vertical="center" shrinkToFit="1"/>
    </xf>
    <xf numFmtId="0" fontId="66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 vertical="center"/>
    </xf>
    <xf numFmtId="176" fontId="37" fillId="9" borderId="14" xfId="7" applyNumberFormat="1" applyFont="1" applyFill="1" applyBorder="1" applyAlignment="1">
      <alignment horizontal="center" vertical="center" shrinkToFit="1"/>
    </xf>
    <xf numFmtId="176" fontId="7" fillId="0" borderId="14" xfId="0" applyNumberFormat="1" applyFont="1" applyBorder="1">
      <alignment vertical="center"/>
    </xf>
    <xf numFmtId="176" fontId="7" fillId="0" borderId="10" xfId="0" applyNumberFormat="1" applyFont="1" applyBorder="1">
      <alignment vertical="center"/>
    </xf>
    <xf numFmtId="176" fontId="7" fillId="0" borderId="11" xfId="0" applyNumberFormat="1" applyFont="1" applyBorder="1">
      <alignment vertical="center"/>
    </xf>
    <xf numFmtId="176" fontId="7" fillId="0" borderId="100" xfId="0" applyNumberFormat="1" applyFont="1" applyBorder="1">
      <alignment vertical="center"/>
    </xf>
    <xf numFmtId="0" fontId="66" fillId="19" borderId="14" xfId="7" applyFont="1" applyFill="1" applyBorder="1" applyAlignment="1">
      <alignment horizontal="center" vertical="center" shrinkToFit="1"/>
    </xf>
    <xf numFmtId="0" fontId="66" fillId="9" borderId="14" xfId="7" applyFont="1" applyFill="1" applyBorder="1" applyAlignment="1">
      <alignment horizontal="center" vertical="center" shrinkToFit="1"/>
    </xf>
    <xf numFmtId="176" fontId="37" fillId="19" borderId="14" xfId="7" applyNumberFormat="1" applyFont="1" applyFill="1" applyBorder="1" applyAlignment="1">
      <alignment horizontal="center" vertical="center" shrinkToFit="1"/>
    </xf>
    <xf numFmtId="176" fontId="36" fillId="16" borderId="91" xfId="7" applyNumberFormat="1" applyFont="1" applyFill="1" applyBorder="1" applyAlignment="1" applyProtection="1">
      <alignment horizontal="right" vertical="center" shrinkToFit="1"/>
    </xf>
    <xf numFmtId="0" fontId="37" fillId="19" borderId="90" xfId="0" applyFont="1" applyFill="1" applyBorder="1" applyAlignment="1">
      <alignment horizontal="center" vertical="center"/>
    </xf>
    <xf numFmtId="0" fontId="67" fillId="0" borderId="90" xfId="0" applyFont="1" applyBorder="1">
      <alignment vertical="center"/>
    </xf>
    <xf numFmtId="176" fontId="68" fillId="9" borderId="90" xfId="7" applyNumberFormat="1" applyFont="1" applyFill="1" applyBorder="1" applyAlignment="1">
      <alignment horizontal="center" vertical="center" shrinkToFit="1"/>
    </xf>
    <xf numFmtId="176" fontId="20" fillId="19" borderId="90" xfId="7" applyNumberFormat="1" applyFont="1" applyFill="1" applyBorder="1" applyAlignment="1">
      <alignment horizontal="center" vertical="center" shrinkToFit="1"/>
    </xf>
    <xf numFmtId="176" fontId="37" fillId="0" borderId="90" xfId="7" applyNumberFormat="1" applyFont="1" applyBorder="1" applyAlignment="1">
      <alignment horizontal="center" vertical="center" shrinkToFit="1"/>
    </xf>
    <xf numFmtId="176" fontId="69" fillId="0" borderId="90" xfId="0" applyNumberFormat="1" applyFont="1" applyBorder="1">
      <alignment vertical="center"/>
    </xf>
    <xf numFmtId="176" fontId="69" fillId="0" borderId="29" xfId="0" applyNumberFormat="1" applyFont="1" applyBorder="1">
      <alignment vertical="center"/>
    </xf>
    <xf numFmtId="0" fontId="37" fillId="19" borderId="14" xfId="0" applyFont="1" applyFill="1" applyBorder="1" applyAlignment="1">
      <alignment horizontal="center" vertical="center"/>
    </xf>
    <xf numFmtId="0" fontId="67" fillId="0" borderId="14" xfId="0" applyFont="1" applyBorder="1">
      <alignment vertical="center"/>
    </xf>
    <xf numFmtId="176" fontId="68" fillId="0" borderId="14" xfId="7" applyNumberFormat="1" applyFont="1" applyBorder="1" applyAlignment="1">
      <alignment horizontal="center" vertical="center" shrinkToFit="1"/>
    </xf>
    <xf numFmtId="176" fontId="20" fillId="0" borderId="14" xfId="7" applyNumberFormat="1" applyFont="1" applyBorder="1" applyAlignment="1">
      <alignment horizontal="center" vertical="center" shrinkToFit="1"/>
    </xf>
    <xf numFmtId="176" fontId="37" fillId="0" borderId="14" xfId="7" applyNumberFormat="1" applyFont="1" applyBorder="1" applyAlignment="1">
      <alignment horizontal="center" vertical="center" shrinkToFit="1"/>
    </xf>
    <xf numFmtId="0" fontId="0" fillId="0" borderId="14" xfId="0" applyBorder="1">
      <alignment vertical="center"/>
    </xf>
    <xf numFmtId="176" fontId="69" fillId="0" borderId="14" xfId="0" applyNumberFormat="1" applyFont="1" applyBorder="1">
      <alignment vertical="center"/>
    </xf>
    <xf numFmtId="176" fontId="69" fillId="0" borderId="10" xfId="0" applyNumberFormat="1" applyFont="1" applyBorder="1">
      <alignment vertical="center"/>
    </xf>
    <xf numFmtId="0" fontId="20" fillId="0" borderId="1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70" fillId="0" borderId="14" xfId="0" applyFont="1" applyBorder="1">
      <alignment vertical="center"/>
    </xf>
    <xf numFmtId="0" fontId="69" fillId="0" borderId="14" xfId="0" applyFont="1" applyBorder="1">
      <alignment vertical="center"/>
    </xf>
    <xf numFmtId="0" fontId="20" fillId="19" borderId="14" xfId="0" applyFont="1" applyFill="1" applyBorder="1" applyAlignment="1">
      <alignment horizontal="center" vertical="center"/>
    </xf>
    <xf numFmtId="0" fontId="71" fillId="16" borderId="91" xfId="7" applyFont="1" applyFill="1" applyBorder="1" applyAlignment="1">
      <alignment horizontal="center" vertical="center" shrinkToFit="1"/>
    </xf>
    <xf numFmtId="176" fontId="18" fillId="16" borderId="91" xfId="7" applyNumberFormat="1" applyFont="1" applyFill="1" applyBorder="1" applyAlignment="1">
      <alignment horizontal="center" vertical="center" shrinkToFit="1"/>
    </xf>
    <xf numFmtId="176" fontId="18" fillId="16" borderId="91" xfId="7" applyNumberFormat="1" applyFont="1" applyFill="1" applyBorder="1" applyAlignment="1">
      <alignment horizontal="right" vertical="center" shrinkToFit="1"/>
    </xf>
    <xf numFmtId="176" fontId="18" fillId="16" borderId="30" xfId="7" applyNumberFormat="1" applyFont="1" applyFill="1" applyBorder="1" applyAlignment="1">
      <alignment horizontal="right" vertical="center" shrinkToFit="1"/>
    </xf>
    <xf numFmtId="0" fontId="20" fillId="0" borderId="90" xfId="0" applyFont="1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0" fontId="70" fillId="0" borderId="90" xfId="0" applyFont="1" applyBorder="1">
      <alignment vertical="center"/>
    </xf>
    <xf numFmtId="176" fontId="20" fillId="0" borderId="90" xfId="7" applyNumberFormat="1" applyFont="1" applyBorder="1" applyAlignment="1">
      <alignment horizontal="center" vertical="center" shrinkToFit="1"/>
    </xf>
    <xf numFmtId="0" fontId="72" fillId="16" borderId="91" xfId="7" applyFont="1" applyFill="1" applyBorder="1" applyAlignment="1">
      <alignment horizontal="center" vertical="center" shrinkToFit="1"/>
    </xf>
    <xf numFmtId="176" fontId="73" fillId="16" borderId="91" xfId="7" applyNumberFormat="1" applyFont="1" applyFill="1" applyBorder="1" applyAlignment="1">
      <alignment horizontal="center" vertical="center" shrinkToFit="1"/>
    </xf>
    <xf numFmtId="176" fontId="36" fillId="16" borderId="91" xfId="7" applyNumberFormat="1" applyFont="1" applyFill="1" applyBorder="1" applyAlignment="1">
      <alignment horizontal="center" vertical="center" shrinkToFit="1"/>
    </xf>
    <xf numFmtId="0" fontId="65" fillId="0" borderId="11" xfId="0" applyFont="1" applyBorder="1" applyAlignment="1">
      <alignment horizontal="center" vertical="center"/>
    </xf>
    <xf numFmtId="0" fontId="66" fillId="0" borderId="11" xfId="0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176" fontId="64" fillId="9" borderId="11" xfId="7" applyNumberFormat="1" applyFont="1" applyFill="1" applyBorder="1" applyAlignment="1">
      <alignment horizontal="center" vertical="center" shrinkToFit="1"/>
    </xf>
    <xf numFmtId="176" fontId="64" fillId="0" borderId="11" xfId="0" applyNumberFormat="1" applyFont="1" applyBorder="1">
      <alignment vertical="center"/>
    </xf>
    <xf numFmtId="176" fontId="64" fillId="0" borderId="100" xfId="0" applyNumberFormat="1" applyFont="1" applyBorder="1">
      <alignment vertical="center"/>
    </xf>
    <xf numFmtId="0" fontId="74" fillId="0" borderId="14" xfId="0" applyFont="1" applyBorder="1" applyAlignment="1">
      <alignment horizontal="center" vertical="center"/>
    </xf>
    <xf numFmtId="176" fontId="64" fillId="9" borderId="14" xfId="7" applyNumberFormat="1" applyFont="1" applyFill="1" applyBorder="1" applyAlignment="1">
      <alignment horizontal="center" vertical="center" shrinkToFit="1"/>
    </xf>
    <xf numFmtId="176" fontId="64" fillId="0" borderId="14" xfId="0" applyNumberFormat="1" applyFont="1" applyBorder="1">
      <alignment vertical="center"/>
    </xf>
    <xf numFmtId="176" fontId="64" fillId="0" borderId="10" xfId="0" applyNumberFormat="1" applyFont="1" applyBorder="1">
      <alignment vertical="center"/>
    </xf>
    <xf numFmtId="0" fontId="65" fillId="13" borderId="11" xfId="0" applyFont="1" applyFill="1" applyBorder="1" applyAlignment="1">
      <alignment horizontal="center" vertical="center"/>
    </xf>
    <xf numFmtId="176" fontId="64" fillId="13" borderId="14" xfId="7" applyNumberFormat="1" applyFont="1" applyFill="1" applyBorder="1" applyAlignment="1">
      <alignment horizontal="center" vertical="center" shrinkToFit="1"/>
    </xf>
    <xf numFmtId="0" fontId="65" fillId="13" borderId="14" xfId="0" applyFont="1" applyFill="1" applyBorder="1" applyAlignment="1">
      <alignment horizontal="center" vertical="center"/>
    </xf>
    <xf numFmtId="0" fontId="74" fillId="0" borderId="31" xfId="0" applyFont="1" applyBorder="1" applyAlignment="1">
      <alignment horizontal="center" vertical="center"/>
    </xf>
    <xf numFmtId="176" fontId="64" fillId="9" borderId="31" xfId="7" applyNumberFormat="1" applyFont="1" applyFill="1" applyBorder="1" applyAlignment="1">
      <alignment horizontal="center" vertical="center" shrinkToFit="1"/>
    </xf>
    <xf numFmtId="176" fontId="64" fillId="0" borderId="31" xfId="7" applyNumberFormat="1" applyFont="1" applyBorder="1" applyAlignment="1">
      <alignment horizontal="center" vertical="center" shrinkToFit="1"/>
    </xf>
    <xf numFmtId="176" fontId="64" fillId="0" borderId="31" xfId="0" applyNumberFormat="1" applyFont="1" applyBorder="1">
      <alignment vertical="center"/>
    </xf>
    <xf numFmtId="176" fontId="64" fillId="0" borderId="102" xfId="0" applyNumberFormat="1" applyFont="1" applyBorder="1">
      <alignment vertical="center"/>
    </xf>
    <xf numFmtId="176" fontId="71" fillId="16" borderId="91" xfId="7" applyNumberFormat="1" applyFont="1" applyFill="1" applyBorder="1" applyAlignment="1">
      <alignment horizontal="center" vertical="center" shrinkToFit="1"/>
    </xf>
    <xf numFmtId="176" fontId="71" fillId="16" borderId="91" xfId="7" applyNumberFormat="1" applyFont="1" applyFill="1" applyBorder="1" applyAlignment="1">
      <alignment horizontal="right" vertical="center" shrinkToFit="1"/>
    </xf>
    <xf numFmtId="176" fontId="71" fillId="16" borderId="30" xfId="7" applyNumberFormat="1" applyFont="1" applyFill="1" applyBorder="1" applyAlignment="1">
      <alignment horizontal="right" vertical="center" shrinkToFit="1"/>
    </xf>
    <xf numFmtId="49" fontId="66" fillId="0" borderId="90" xfId="0" applyNumberFormat="1" applyFont="1" applyBorder="1" applyAlignment="1">
      <alignment horizontal="center" vertical="center" shrinkToFit="1"/>
    </xf>
    <xf numFmtId="49" fontId="76" fillId="0" borderId="90" xfId="0" applyNumberFormat="1" applyFont="1" applyBorder="1" applyAlignment="1">
      <alignment horizontal="center" vertical="center" shrinkToFit="1"/>
    </xf>
    <xf numFmtId="176" fontId="66" fillId="9" borderId="90" xfId="7" applyNumberFormat="1" applyFont="1" applyFill="1" applyBorder="1" applyAlignment="1">
      <alignment horizontal="center" vertical="center" shrinkToFit="1"/>
    </xf>
    <xf numFmtId="176" fontId="66" fillId="0" borderId="90" xfId="7" applyNumberFormat="1" applyFont="1" applyBorder="1" applyAlignment="1">
      <alignment horizontal="center" vertical="center" shrinkToFit="1"/>
    </xf>
    <xf numFmtId="176" fontId="64" fillId="0" borderId="90" xfId="0" applyNumberFormat="1" applyFont="1" applyBorder="1">
      <alignment vertical="center"/>
    </xf>
    <xf numFmtId="176" fontId="64" fillId="0" borderId="29" xfId="0" applyNumberFormat="1" applyFont="1" applyBorder="1">
      <alignment vertical="center"/>
    </xf>
    <xf numFmtId="0" fontId="66" fillId="0" borderId="14" xfId="0" applyFont="1" applyBorder="1" applyAlignment="1">
      <alignment horizontal="center" vertical="center" shrinkToFit="1"/>
    </xf>
    <xf numFmtId="49" fontId="76" fillId="0" borderId="11" xfId="0" applyNumberFormat="1" applyFont="1" applyBorder="1" applyAlignment="1">
      <alignment horizontal="center" vertical="center" shrinkToFit="1"/>
    </xf>
    <xf numFmtId="176" fontId="66" fillId="9" borderId="11" xfId="7" applyNumberFormat="1" applyFont="1" applyFill="1" applyBorder="1" applyAlignment="1">
      <alignment horizontal="center" vertical="center" shrinkToFit="1"/>
    </xf>
    <xf numFmtId="176" fontId="66" fillId="9" borderId="14" xfId="7" applyNumberFormat="1" applyFont="1" applyFill="1" applyBorder="1" applyAlignment="1">
      <alignment horizontal="center" vertical="center" shrinkToFit="1"/>
    </xf>
    <xf numFmtId="49" fontId="66" fillId="13" borderId="11" xfId="0" applyNumberFormat="1" applyFont="1" applyFill="1" applyBorder="1" applyAlignment="1">
      <alignment horizontal="center" vertical="center" shrinkToFit="1"/>
    </xf>
    <xf numFmtId="49" fontId="66" fillId="0" borderId="11" xfId="0" applyNumberFormat="1" applyFont="1" applyBorder="1" applyAlignment="1">
      <alignment horizontal="center" vertical="center" shrinkToFit="1"/>
    </xf>
    <xf numFmtId="176" fontId="66" fillId="13" borderId="11" xfId="7" applyNumberFormat="1" applyFont="1" applyFill="1" applyBorder="1" applyAlignment="1">
      <alignment horizontal="center" vertical="center" shrinkToFit="1"/>
    </xf>
    <xf numFmtId="0" fontId="66" fillId="13" borderId="14" xfId="0" applyFont="1" applyFill="1" applyBorder="1" applyAlignment="1">
      <alignment horizontal="center" vertical="center" shrinkToFit="1"/>
    </xf>
    <xf numFmtId="0" fontId="76" fillId="0" borderId="14" xfId="0" applyFont="1" applyBorder="1" applyAlignment="1">
      <alignment horizontal="center" vertical="center" shrinkToFit="1"/>
    </xf>
    <xf numFmtId="176" fontId="66" fillId="13" borderId="14" xfId="7" applyNumberFormat="1" applyFont="1" applyFill="1" applyBorder="1" applyAlignment="1">
      <alignment horizontal="center" vertical="center" shrinkToFit="1"/>
    </xf>
    <xf numFmtId="176" fontId="66" fillId="0" borderId="14" xfId="7" applyNumberFormat="1" applyFont="1" applyBorder="1" applyAlignment="1">
      <alignment horizontal="center" vertical="center" shrinkToFit="1"/>
    </xf>
    <xf numFmtId="176" fontId="72" fillId="16" borderId="91" xfId="7" applyNumberFormat="1" applyFont="1" applyFill="1" applyBorder="1" applyAlignment="1">
      <alignment horizontal="center" vertical="center" shrinkToFit="1"/>
    </xf>
    <xf numFmtId="0" fontId="66" fillId="13" borderId="11" xfId="0" applyFont="1" applyFill="1" applyBorder="1" applyAlignment="1">
      <alignment horizontal="center" vertical="center"/>
    </xf>
    <xf numFmtId="176" fontId="66" fillId="0" borderId="11" xfId="7" applyNumberFormat="1" applyFont="1" applyBorder="1" applyAlignment="1">
      <alignment horizontal="center" vertical="center" shrinkToFit="1"/>
    </xf>
    <xf numFmtId="0" fontId="66" fillId="13" borderId="14" xfId="0" applyFont="1" applyFill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76" fillId="0" borderId="14" xfId="0" applyFont="1" applyBorder="1" applyAlignment="1">
      <alignment horizontal="center" vertical="center"/>
    </xf>
    <xf numFmtId="0" fontId="74" fillId="0" borderId="90" xfId="0" applyFont="1" applyBorder="1" applyAlignment="1">
      <alignment horizontal="center" vertical="center"/>
    </xf>
    <xf numFmtId="176" fontId="64" fillId="9" borderId="90" xfId="7" applyNumberFormat="1" applyFont="1" applyFill="1" applyBorder="1" applyAlignment="1">
      <alignment horizontal="center" vertical="center" shrinkToFit="1"/>
    </xf>
    <xf numFmtId="0" fontId="64" fillId="0" borderId="11" xfId="0" applyFont="1" applyBorder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176" fontId="71" fillId="0" borderId="11" xfId="0" applyNumberFormat="1" applyFont="1" applyBorder="1">
      <alignment vertical="center"/>
    </xf>
    <xf numFmtId="176" fontId="71" fillId="0" borderId="100" xfId="0" applyNumberFormat="1" applyFont="1" applyBorder="1">
      <alignment vertical="center"/>
    </xf>
    <xf numFmtId="0" fontId="77" fillId="0" borderId="14" xfId="0" applyFont="1" applyBorder="1" applyAlignment="1">
      <alignment horizontal="center" vertical="center"/>
    </xf>
    <xf numFmtId="176" fontId="71" fillId="0" borderId="14" xfId="0" applyNumberFormat="1" applyFont="1" applyBorder="1">
      <alignment vertical="center"/>
    </xf>
    <xf numFmtId="0" fontId="70" fillId="0" borderId="11" xfId="0" applyFont="1" applyBorder="1">
      <alignment vertical="center"/>
    </xf>
    <xf numFmtId="176" fontId="20" fillId="9" borderId="11" xfId="7" applyNumberFormat="1" applyFont="1" applyFill="1" applyBorder="1" applyAlignment="1">
      <alignment horizontal="center" vertical="center" shrinkToFit="1"/>
    </xf>
    <xf numFmtId="0" fontId="64" fillId="19" borderId="14" xfId="0" applyFont="1" applyFill="1" applyBorder="1" applyAlignment="1">
      <alignment horizontal="center" vertical="center"/>
    </xf>
    <xf numFmtId="176" fontId="18" fillId="9" borderId="14" xfId="7" applyNumberFormat="1" applyFont="1" applyFill="1" applyBorder="1" applyAlignment="1">
      <alignment horizontal="center" vertical="center" shrinkToFit="1"/>
    </xf>
    <xf numFmtId="0" fontId="20" fillId="19" borderId="31" xfId="0" applyFont="1" applyFill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9" fillId="0" borderId="31" xfId="0" applyFont="1" applyBorder="1">
      <alignment vertical="center"/>
    </xf>
    <xf numFmtId="176" fontId="20" fillId="9" borderId="31" xfId="7" applyNumberFormat="1" applyFont="1" applyFill="1" applyBorder="1" applyAlignment="1">
      <alignment horizontal="center" vertical="center" shrinkToFit="1"/>
    </xf>
    <xf numFmtId="176" fontId="20" fillId="19" borderId="31" xfId="7" applyNumberFormat="1" applyFont="1" applyFill="1" applyBorder="1" applyAlignment="1">
      <alignment horizontal="center" vertical="center" shrinkToFit="1"/>
    </xf>
    <xf numFmtId="176" fontId="20" fillId="0" borderId="31" xfId="7" applyNumberFormat="1" applyFont="1" applyBorder="1" applyAlignment="1">
      <alignment horizontal="center" vertical="center" shrinkToFit="1"/>
    </xf>
    <xf numFmtId="0" fontId="71" fillId="16" borderId="31" xfId="7" applyFont="1" applyFill="1" applyBorder="1" applyAlignment="1">
      <alignment horizontal="center" vertical="center" shrinkToFit="1"/>
    </xf>
    <xf numFmtId="176" fontId="18" fillId="16" borderId="31" xfId="7" applyNumberFormat="1" applyFont="1" applyFill="1" applyBorder="1" applyAlignment="1">
      <alignment horizontal="center" vertical="center" shrinkToFit="1"/>
    </xf>
    <xf numFmtId="176" fontId="18" fillId="16" borderId="31" xfId="7" applyNumberFormat="1" applyFont="1" applyFill="1" applyBorder="1" applyAlignment="1">
      <alignment horizontal="right" vertical="center" shrinkToFit="1"/>
    </xf>
    <xf numFmtId="176" fontId="18" fillId="16" borderId="102" xfId="7" applyNumberFormat="1" applyFont="1" applyFill="1" applyBorder="1" applyAlignment="1">
      <alignment horizontal="right" vertical="center" shrinkToFit="1"/>
    </xf>
    <xf numFmtId="0" fontId="64" fillId="19" borderId="90" xfId="7" applyFont="1" applyFill="1" applyBorder="1" applyAlignment="1">
      <alignment horizontal="center" vertical="center" shrinkToFit="1"/>
    </xf>
    <xf numFmtId="0" fontId="64" fillId="0" borderId="90" xfId="7" applyFont="1" applyBorder="1" applyAlignment="1">
      <alignment horizontal="center" vertical="center" shrinkToFit="1"/>
    </xf>
    <xf numFmtId="49" fontId="20" fillId="0" borderId="90" xfId="0" applyNumberFormat="1" applyFont="1" applyBorder="1" applyAlignment="1">
      <alignment horizontal="center" vertical="center" shrinkToFit="1"/>
    </xf>
    <xf numFmtId="49" fontId="64" fillId="0" borderId="90" xfId="0" applyNumberFormat="1" applyFont="1" applyBorder="1" applyAlignment="1">
      <alignment horizontal="center" vertical="center" shrinkToFit="1"/>
    </xf>
    <xf numFmtId="49" fontId="70" fillId="0" borderId="90" xfId="0" applyNumberFormat="1" applyFont="1" applyBorder="1" applyAlignment="1">
      <alignment vertical="center" shrinkToFit="1"/>
    </xf>
    <xf numFmtId="49" fontId="20" fillId="0" borderId="14" xfId="0" applyNumberFormat="1" applyFont="1" applyBorder="1" applyAlignment="1">
      <alignment horizontal="center" vertical="center" shrinkToFit="1"/>
    </xf>
    <xf numFmtId="49" fontId="64" fillId="0" borderId="14" xfId="0" applyNumberFormat="1" applyFont="1" applyBorder="1" applyAlignment="1">
      <alignment horizontal="center" vertical="center" shrinkToFit="1"/>
    </xf>
    <xf numFmtId="49" fontId="70" fillId="0" borderId="14" xfId="0" applyNumberFormat="1" applyFont="1" applyBorder="1" applyAlignment="1">
      <alignment vertical="center" shrinkToFit="1"/>
    </xf>
    <xf numFmtId="0" fontId="20" fillId="0" borderId="14" xfId="0" applyFont="1" applyBorder="1" applyAlignment="1">
      <alignment horizontal="center" vertical="center" shrinkToFit="1"/>
    </xf>
    <xf numFmtId="0" fontId="64" fillId="0" borderId="14" xfId="0" applyFont="1" applyBorder="1" applyAlignment="1">
      <alignment horizontal="center" vertical="center" shrinkToFit="1"/>
    </xf>
    <xf numFmtId="176" fontId="36" fillId="16" borderId="91" xfId="7" applyNumberFormat="1" applyFont="1" applyFill="1" applyBorder="1" applyAlignment="1">
      <alignment horizontal="right" vertical="center" shrinkToFit="1"/>
    </xf>
    <xf numFmtId="176" fontId="36" fillId="16" borderId="30" xfId="7" applyNumberFormat="1" applyFont="1" applyFill="1" applyBorder="1" applyAlignment="1">
      <alignment horizontal="right" vertical="center" shrinkToFit="1"/>
    </xf>
    <xf numFmtId="176" fontId="7" fillId="0" borderId="31" xfId="0" applyNumberFormat="1" applyFont="1" applyBorder="1">
      <alignment vertical="center"/>
    </xf>
    <xf numFmtId="176" fontId="7" fillId="0" borderId="102" xfId="0" applyNumberFormat="1" applyFont="1" applyBorder="1">
      <alignment vertical="center"/>
    </xf>
    <xf numFmtId="0" fontId="31" fillId="0" borderId="0" xfId="0" applyFont="1">
      <alignment vertical="center"/>
    </xf>
    <xf numFmtId="0" fontId="28" fillId="11" borderId="91" xfId="7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7" fillId="9" borderId="11" xfId="7" applyFont="1" applyFill="1" applyBorder="1" applyAlignment="1">
      <alignment horizontal="center" vertical="center" shrinkToFit="1"/>
    </xf>
    <xf numFmtId="0" fontId="66" fillId="0" borderId="109" xfId="0" applyFont="1" applyBorder="1" applyAlignment="1">
      <alignment horizontal="center" vertical="center"/>
    </xf>
    <xf numFmtId="176" fontId="37" fillId="9" borderId="11" xfId="7" applyNumberFormat="1" applyFont="1" applyFill="1" applyBorder="1" applyAlignment="1">
      <alignment horizontal="center" vertical="center" shrinkToFit="1"/>
    </xf>
    <xf numFmtId="0" fontId="31" fillId="0" borderId="6" xfId="0" applyFont="1" applyBorder="1">
      <alignment vertical="center"/>
    </xf>
    <xf numFmtId="0" fontId="31" fillId="0" borderId="20" xfId="0" applyFont="1" applyBorder="1">
      <alignment vertical="center"/>
    </xf>
    <xf numFmtId="0" fontId="37" fillId="9" borderId="14" xfId="7" applyFont="1" applyFill="1" applyBorder="1" applyAlignment="1">
      <alignment horizontal="center" vertical="center" shrinkToFit="1"/>
    </xf>
    <xf numFmtId="176" fontId="66" fillId="0" borderId="11" xfId="0" applyNumberFormat="1" applyFont="1" applyBorder="1">
      <alignment vertical="center"/>
    </xf>
    <xf numFmtId="176" fontId="66" fillId="0" borderId="100" xfId="0" applyNumberFormat="1" applyFont="1" applyBorder="1">
      <alignment vertical="center"/>
    </xf>
    <xf numFmtId="0" fontId="20" fillId="9" borderId="0" xfId="7" applyFont="1" applyFill="1" applyAlignment="1">
      <alignment horizontal="center" vertical="center" shrinkToFit="1"/>
    </xf>
    <xf numFmtId="176" fontId="66" fillId="0" borderId="14" xfId="0" applyNumberFormat="1" applyFont="1" applyBorder="1">
      <alignment vertical="center"/>
    </xf>
    <xf numFmtId="176" fontId="66" fillId="0" borderId="10" xfId="0" applyNumberFormat="1" applyFont="1" applyBorder="1">
      <alignment vertical="center"/>
    </xf>
    <xf numFmtId="0" fontId="76" fillId="0" borderId="31" xfId="0" applyFont="1" applyBorder="1" applyAlignment="1">
      <alignment horizontal="center" vertical="center"/>
    </xf>
    <xf numFmtId="176" fontId="66" fillId="9" borderId="31" xfId="7" applyNumberFormat="1" applyFont="1" applyFill="1" applyBorder="1" applyAlignment="1">
      <alignment horizontal="center" vertical="center" shrinkToFit="1"/>
    </xf>
    <xf numFmtId="176" fontId="66" fillId="0" borderId="31" xfId="7" applyNumberFormat="1" applyFont="1" applyBorder="1" applyAlignment="1">
      <alignment horizontal="center" vertical="center" shrinkToFit="1"/>
    </xf>
    <xf numFmtId="176" fontId="66" fillId="0" borderId="31" xfId="0" applyNumberFormat="1" applyFont="1" applyBorder="1">
      <alignment vertical="center"/>
    </xf>
    <xf numFmtId="176" fontId="66" fillId="0" borderId="102" xfId="0" applyNumberFormat="1" applyFont="1" applyBorder="1">
      <alignment vertical="center"/>
    </xf>
    <xf numFmtId="176" fontId="72" fillId="16" borderId="91" xfId="7" applyNumberFormat="1" applyFont="1" applyFill="1" applyBorder="1" applyAlignment="1">
      <alignment horizontal="right" vertical="center" shrinkToFit="1"/>
    </xf>
    <xf numFmtId="176" fontId="72" fillId="16" borderId="30" xfId="7" applyNumberFormat="1" applyFont="1" applyFill="1" applyBorder="1" applyAlignment="1">
      <alignment horizontal="right" vertical="center" shrinkToFit="1"/>
    </xf>
    <xf numFmtId="176" fontId="66" fillId="0" borderId="90" xfId="0" applyNumberFormat="1" applyFont="1" applyBorder="1">
      <alignment vertical="center"/>
    </xf>
    <xf numFmtId="176" fontId="66" fillId="0" borderId="29" xfId="0" applyNumberFormat="1" applyFont="1" applyBorder="1">
      <alignment vertical="center"/>
    </xf>
    <xf numFmtId="0" fontId="76" fillId="0" borderId="90" xfId="0" applyFont="1" applyBorder="1" applyAlignment="1">
      <alignment horizontal="center" vertical="center"/>
    </xf>
    <xf numFmtId="0" fontId="37" fillId="0" borderId="90" xfId="0" applyFont="1" applyBorder="1" applyAlignment="1">
      <alignment horizontal="center" vertical="center"/>
    </xf>
    <xf numFmtId="0" fontId="7" fillId="0" borderId="90" xfId="0" applyFont="1" applyBorder="1">
      <alignment vertical="center"/>
    </xf>
    <xf numFmtId="0" fontId="37" fillId="0" borderId="14" xfId="0" applyFont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37" fillId="9" borderId="90" xfId="7" applyFont="1" applyFill="1" applyBorder="1" applyAlignment="1">
      <alignment horizontal="center" vertical="center" shrinkToFit="1"/>
    </xf>
    <xf numFmtId="176" fontId="36" fillId="16" borderId="31" xfId="7" applyNumberFormat="1" applyFont="1" applyFill="1" applyBorder="1" applyAlignment="1">
      <alignment horizontal="center" vertical="center" shrinkToFit="1"/>
    </xf>
    <xf numFmtId="176" fontId="36" fillId="16" borderId="31" xfId="7" applyNumberFormat="1" applyFont="1" applyFill="1" applyBorder="1" applyAlignment="1">
      <alignment horizontal="right" vertical="center" shrinkToFit="1"/>
    </xf>
    <xf numFmtId="176" fontId="36" fillId="16" borderId="102" xfId="7" applyNumberFormat="1" applyFont="1" applyFill="1" applyBorder="1" applyAlignment="1">
      <alignment horizontal="right" vertical="center" shrinkToFit="1"/>
    </xf>
    <xf numFmtId="0" fontId="7" fillId="0" borderId="90" xfId="0" applyFont="1" applyBorder="1" applyAlignment="1">
      <alignment horizontal="center" vertical="center" wrapText="1"/>
    </xf>
    <xf numFmtId="176" fontId="36" fillId="0" borderId="90" xfId="7" applyNumberFormat="1" applyFont="1" applyBorder="1" applyAlignment="1">
      <alignment horizontal="center" vertical="center" shrinkToFit="1"/>
    </xf>
    <xf numFmtId="176" fontId="37" fillId="0" borderId="90" xfId="7" applyNumberFormat="1" applyFont="1" applyBorder="1" applyAlignment="1">
      <alignment horizontal="right" vertical="center" shrinkToFit="1"/>
    </xf>
    <xf numFmtId="176" fontId="37" fillId="0" borderId="29" xfId="7" applyNumberFormat="1" applyFont="1" applyBorder="1" applyAlignment="1">
      <alignment horizontal="right" vertical="center" shrinkToFit="1"/>
    </xf>
    <xf numFmtId="0" fontId="7" fillId="0" borderId="14" xfId="0" applyFont="1" applyBorder="1" applyAlignment="1">
      <alignment horizontal="center" vertical="center" wrapText="1"/>
    </xf>
    <xf numFmtId="176" fontId="36" fillId="0" borderId="14" xfId="7" applyNumberFormat="1" applyFont="1" applyBorder="1" applyAlignment="1">
      <alignment horizontal="center" vertical="center" shrinkToFit="1"/>
    </xf>
    <xf numFmtId="176" fontId="37" fillId="0" borderId="10" xfId="7" applyNumberFormat="1" applyFont="1" applyBorder="1" applyAlignment="1">
      <alignment horizontal="right" vertical="center" shrinkToFit="1"/>
    </xf>
    <xf numFmtId="176" fontId="36" fillId="0" borderId="11" xfId="7" applyNumberFormat="1" applyFont="1" applyBorder="1" applyAlignment="1">
      <alignment horizontal="center" vertical="center" shrinkToFit="1"/>
    </xf>
    <xf numFmtId="176" fontId="37" fillId="0" borderId="11" xfId="7" applyNumberFormat="1" applyFont="1" applyBorder="1" applyAlignment="1">
      <alignment horizontal="center" vertical="center" shrinkToFit="1"/>
    </xf>
    <xf numFmtId="49" fontId="79" fillId="0" borderId="90" xfId="0" applyNumberFormat="1" applyFont="1" applyBorder="1" applyAlignment="1">
      <alignment vertical="center" shrinkToFit="1"/>
    </xf>
    <xf numFmtId="49" fontId="79" fillId="0" borderId="11" xfId="0" applyNumberFormat="1" applyFont="1" applyBorder="1" applyAlignment="1">
      <alignment vertical="center" shrinkToFit="1"/>
    </xf>
    <xf numFmtId="0" fontId="79" fillId="0" borderId="14" xfId="0" applyFont="1" applyBorder="1" applyAlignment="1">
      <alignment vertical="center" shrinkToFit="1"/>
    </xf>
    <xf numFmtId="0" fontId="7" fillId="0" borderId="14" xfId="0" applyFont="1" applyBorder="1" applyAlignment="1">
      <alignment horizontal="center" vertical="center"/>
    </xf>
    <xf numFmtId="49" fontId="79" fillId="0" borderId="14" xfId="0" applyNumberFormat="1" applyFont="1" applyBorder="1" applyAlignment="1">
      <alignment vertical="center" shrinkToFit="1"/>
    </xf>
    <xf numFmtId="176" fontId="36" fillId="9" borderId="14" xfId="7" applyNumberFormat="1" applyFont="1" applyFill="1" applyBorder="1" applyAlignment="1">
      <alignment horizontal="center" vertical="center" shrinkToFit="1"/>
    </xf>
    <xf numFmtId="176" fontId="36" fillId="9" borderId="90" xfId="7" applyNumberFormat="1" applyFont="1" applyFill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/>
    </xf>
    <xf numFmtId="49" fontId="37" fillId="0" borderId="14" xfId="0" applyNumberFormat="1" applyFont="1" applyBorder="1" applyAlignment="1">
      <alignment horizontal="center" vertical="center" shrinkToFit="1"/>
    </xf>
    <xf numFmtId="49" fontId="66" fillId="0" borderId="14" xfId="0" applyNumberFormat="1" applyFont="1" applyBorder="1" applyAlignment="1">
      <alignment horizontal="center" vertical="center" shrinkToFit="1"/>
    </xf>
    <xf numFmtId="0" fontId="7" fillId="0" borderId="11" xfId="0" applyFont="1" applyBorder="1">
      <alignment vertical="center"/>
    </xf>
    <xf numFmtId="0" fontId="36" fillId="16" borderId="91" xfId="7" applyFont="1" applyFill="1" applyBorder="1" applyAlignment="1">
      <alignment horizontal="center" vertical="center" shrinkToFit="1"/>
    </xf>
    <xf numFmtId="0" fontId="36" fillId="16" borderId="105" xfId="7" applyFont="1" applyFill="1" applyBorder="1" applyAlignment="1">
      <alignment horizontal="center" vertical="center" shrinkToFit="1"/>
    </xf>
    <xf numFmtId="0" fontId="0" fillId="0" borderId="90" xfId="0" applyBorder="1">
      <alignment vertical="center"/>
    </xf>
    <xf numFmtId="0" fontId="36" fillId="16" borderId="31" xfId="7" applyFont="1" applyFill="1" applyBorder="1" applyAlignment="1">
      <alignment horizontal="center" vertical="center" shrinkToFit="1"/>
    </xf>
    <xf numFmtId="176" fontId="37" fillId="9" borderId="90" xfId="7" applyNumberFormat="1" applyFont="1" applyFill="1" applyBorder="1" applyAlignment="1">
      <alignment horizontal="right" vertical="center" shrinkToFit="1"/>
    </xf>
    <xf numFmtId="176" fontId="37" fillId="9" borderId="29" xfId="7" applyNumberFormat="1" applyFont="1" applyFill="1" applyBorder="1" applyAlignment="1">
      <alignment horizontal="right" vertical="center" shrinkToFit="1"/>
    </xf>
    <xf numFmtId="176" fontId="37" fillId="9" borderId="14" xfId="7" applyNumberFormat="1" applyFont="1" applyFill="1" applyBorder="1" applyAlignment="1">
      <alignment horizontal="right" vertical="center" shrinkToFit="1"/>
    </xf>
    <xf numFmtId="176" fontId="37" fillId="9" borderId="10" xfId="7" applyNumberFormat="1" applyFont="1" applyFill="1" applyBorder="1" applyAlignment="1">
      <alignment horizontal="right" vertical="center" shrinkToFit="1"/>
    </xf>
    <xf numFmtId="49" fontId="7" fillId="0" borderId="149" xfId="7" applyNumberFormat="1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center" vertical="center"/>
    </xf>
    <xf numFmtId="176" fontId="0" fillId="9" borderId="11" xfId="7" applyNumberFormat="1" applyFont="1" applyFill="1" applyBorder="1" applyAlignment="1">
      <alignment horizontal="center" vertical="center" shrinkToFit="1"/>
    </xf>
    <xf numFmtId="0" fontId="7" fillId="0" borderId="11" xfId="7" applyFont="1" applyBorder="1" applyAlignment="1">
      <alignment horizontal="center" vertical="center" shrinkToFit="1"/>
    </xf>
    <xf numFmtId="176" fontId="7" fillId="0" borderId="11" xfId="7" applyNumberFormat="1" applyFont="1" applyBorder="1" applyAlignment="1">
      <alignment horizontal="center" vertical="center" shrinkToFit="1"/>
    </xf>
    <xf numFmtId="176" fontId="7" fillId="0" borderId="11" xfId="0" applyNumberFormat="1" applyFont="1" applyBorder="1" applyAlignment="1">
      <alignment horizontal="center" vertical="center" shrinkToFit="1"/>
    </xf>
    <xf numFmtId="49" fontId="7" fillId="0" borderId="147" xfId="7" applyNumberFormat="1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/>
    </xf>
    <xf numFmtId="0" fontId="7" fillId="0" borderId="14" xfId="7" applyFont="1" applyBorder="1" applyAlignment="1">
      <alignment horizontal="center" vertical="center" shrinkToFit="1"/>
    </xf>
    <xf numFmtId="176" fontId="7" fillId="0" borderId="14" xfId="7" applyNumberFormat="1" applyFont="1" applyBorder="1" applyAlignment="1">
      <alignment horizontal="center" vertical="center" shrinkToFit="1"/>
    </xf>
    <xf numFmtId="176" fontId="7" fillId="0" borderId="14" xfId="0" applyNumberFormat="1" applyFont="1" applyBorder="1" applyAlignment="1">
      <alignment horizontal="center" vertical="center" shrinkToFit="1"/>
    </xf>
    <xf numFmtId="0" fontId="12" fillId="16" borderId="91" xfId="7" applyFont="1" applyFill="1" applyBorder="1" applyAlignment="1">
      <alignment horizontal="center" vertical="center" shrinkToFit="1"/>
    </xf>
    <xf numFmtId="176" fontId="12" fillId="16" borderId="91" xfId="7" applyNumberFormat="1" applyFont="1" applyFill="1" applyBorder="1" applyAlignment="1">
      <alignment horizontal="center" vertical="center" shrinkToFit="1"/>
    </xf>
    <xf numFmtId="176" fontId="0" fillId="16" borderId="91" xfId="7" applyNumberFormat="1" applyFont="1" applyFill="1" applyBorder="1" applyAlignment="1">
      <alignment horizontal="center" vertical="center" shrinkToFit="1"/>
    </xf>
    <xf numFmtId="176" fontId="12" fillId="16" borderId="91" xfId="7" applyNumberFormat="1" applyFont="1" applyFill="1" applyBorder="1" applyAlignment="1">
      <alignment horizontal="right" vertical="center" shrinkToFit="1"/>
    </xf>
    <xf numFmtId="176" fontId="12" fillId="16" borderId="30" xfId="7" applyNumberFormat="1" applyFont="1" applyFill="1" applyBorder="1" applyAlignment="1">
      <alignment horizontal="right" vertical="center" shrinkToFit="1"/>
    </xf>
    <xf numFmtId="0" fontId="0" fillId="0" borderId="133" xfId="0" applyBorder="1" applyAlignment="1">
      <alignment horizontal="center" vertical="center"/>
    </xf>
    <xf numFmtId="0" fontId="0" fillId="9" borderId="11" xfId="7" applyFont="1" applyFill="1" applyBorder="1" applyAlignment="1">
      <alignment horizontal="center" vertical="center" shrinkToFit="1"/>
    </xf>
    <xf numFmtId="0" fontId="69" fillId="0" borderId="11" xfId="7" applyFont="1" applyBorder="1" applyAlignment="1">
      <alignment horizontal="center" vertical="center" shrinkToFit="1"/>
    </xf>
    <xf numFmtId="176" fontId="0" fillId="0" borderId="11" xfId="0" applyNumberFormat="1" applyBorder="1" applyAlignment="1">
      <alignment horizontal="right" vertical="center"/>
    </xf>
    <xf numFmtId="176" fontId="0" fillId="0" borderId="100" xfId="0" applyNumberFormat="1" applyBorder="1" applyAlignment="1">
      <alignment horizontal="right" vertical="center"/>
    </xf>
    <xf numFmtId="0" fontId="0" fillId="0" borderId="126" xfId="0" applyBorder="1" applyAlignment="1">
      <alignment horizontal="center" vertical="center"/>
    </xf>
    <xf numFmtId="0" fontId="69" fillId="9" borderId="11" xfId="7" applyFont="1" applyFill="1" applyBorder="1" applyAlignment="1">
      <alignment horizontal="center" vertical="center" shrinkToFit="1"/>
    </xf>
    <xf numFmtId="176" fontId="0" fillId="9" borderId="14" xfId="7" applyNumberFormat="1" applyFont="1" applyFill="1" applyBorder="1" applyAlignment="1">
      <alignment horizontal="center" vertical="center" shrinkToFit="1"/>
    </xf>
    <xf numFmtId="176" fontId="0" fillId="0" borderId="14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0" fontId="0" fillId="0" borderId="187" xfId="0" applyBorder="1" applyAlignment="1">
      <alignment horizontal="center" vertical="center"/>
    </xf>
    <xf numFmtId="0" fontId="0" fillId="9" borderId="90" xfId="7" applyFont="1" applyFill="1" applyBorder="1" applyAlignment="1">
      <alignment horizontal="center" vertical="center" shrinkToFit="1"/>
    </xf>
    <xf numFmtId="176" fontId="0" fillId="9" borderId="90" xfId="7" applyNumberFormat="1" applyFont="1" applyFill="1" applyBorder="1" applyAlignment="1">
      <alignment horizontal="center" vertical="center" shrinkToFit="1"/>
    </xf>
    <xf numFmtId="176" fontId="0" fillId="0" borderId="90" xfId="0" applyNumberFormat="1" applyBorder="1" applyAlignment="1">
      <alignment horizontal="right" vertical="center"/>
    </xf>
    <xf numFmtId="176" fontId="0" fillId="0" borderId="29" xfId="0" applyNumberFormat="1" applyBorder="1" applyAlignment="1">
      <alignment horizontal="right" vertical="center"/>
    </xf>
    <xf numFmtId="0" fontId="69" fillId="0" borderId="11" xfId="0" applyFont="1" applyBorder="1" applyAlignment="1">
      <alignment horizontal="center" vertical="center"/>
    </xf>
    <xf numFmtId="176" fontId="0" fillId="18" borderId="11" xfId="0" applyNumberFormat="1" applyFill="1" applyBorder="1" applyAlignment="1">
      <alignment horizontal="center" vertical="center" shrinkToFit="1"/>
    </xf>
    <xf numFmtId="0" fontId="69" fillId="0" borderId="14" xfId="0" applyFont="1" applyBorder="1" applyAlignment="1">
      <alignment horizontal="center" vertical="center"/>
    </xf>
    <xf numFmtId="176" fontId="0" fillId="18" borderId="14" xfId="0" applyNumberFormat="1" applyFill="1" applyBorder="1" applyAlignment="1">
      <alignment horizontal="center" vertical="center" shrinkToFit="1"/>
    </xf>
    <xf numFmtId="0" fontId="0" fillId="0" borderId="11" xfId="7" applyFont="1" applyBorder="1" applyAlignment="1">
      <alignment horizontal="center" vertical="center" shrinkToFit="1"/>
    </xf>
    <xf numFmtId="0" fontId="0" fillId="9" borderId="14" xfId="7" applyFont="1" applyFill="1" applyBorder="1" applyAlignment="1">
      <alignment horizontal="center" vertical="center" shrinkToFit="1"/>
    </xf>
    <xf numFmtId="0" fontId="69" fillId="0" borderId="90" xfId="0" applyFont="1" applyBorder="1" applyAlignment="1">
      <alignment horizontal="center" vertical="center"/>
    </xf>
    <xf numFmtId="0" fontId="69" fillId="9" borderId="14" xfId="7" applyFont="1" applyFill="1" applyBorder="1" applyAlignment="1">
      <alignment horizontal="center" vertical="center" shrinkToFit="1"/>
    </xf>
    <xf numFmtId="0" fontId="18" fillId="16" borderId="91" xfId="7" applyFont="1" applyFill="1" applyBorder="1" applyAlignment="1">
      <alignment horizontal="center" vertical="center" shrinkToFit="1"/>
    </xf>
    <xf numFmtId="0" fontId="71" fillId="16" borderId="91" xfId="7" applyFont="1" applyFill="1" applyBorder="1" applyAlignment="1">
      <alignment horizontal="center" vertical="center" shrinkToFit="1"/>
    </xf>
    <xf numFmtId="0" fontId="72" fillId="16" borderId="91" xfId="7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36" fillId="16" borderId="91" xfId="7" applyFont="1" applyFill="1" applyBorder="1" applyAlignment="1">
      <alignment horizontal="center" vertical="center" shrinkToFit="1"/>
    </xf>
    <xf numFmtId="0" fontId="36" fillId="16" borderId="31" xfId="7" applyFont="1" applyFill="1" applyBorder="1" applyAlignment="1">
      <alignment horizontal="center" vertical="center" shrinkToFit="1"/>
    </xf>
    <xf numFmtId="0" fontId="72" fillId="16" borderId="91" xfId="7" applyFont="1" applyFill="1" applyBorder="1" applyAlignment="1">
      <alignment horizontal="center" vertical="center" shrinkToFit="1"/>
    </xf>
    <xf numFmtId="0" fontId="71" fillId="16" borderId="91" xfId="7" applyFont="1" applyFill="1" applyBorder="1" applyAlignment="1">
      <alignment horizontal="center" vertical="center" shrinkToFit="1"/>
    </xf>
    <xf numFmtId="0" fontId="36" fillId="16" borderId="31" xfId="7" applyFont="1" applyFill="1" applyBorder="1" applyAlignment="1">
      <alignment horizontal="center" vertical="center" shrinkToFit="1"/>
    </xf>
    <xf numFmtId="176" fontId="20" fillId="19" borderId="188" xfId="7" applyNumberFormat="1" applyFont="1" applyFill="1" applyBorder="1" applyAlignment="1">
      <alignment horizontal="center" vertical="center" shrinkToFit="1"/>
    </xf>
    <xf numFmtId="176" fontId="68" fillId="9" borderId="29" xfId="7" applyNumberFormat="1" applyFont="1" applyFill="1" applyBorder="1" applyAlignment="1">
      <alignment horizontal="center" vertical="center" shrinkToFit="1"/>
    </xf>
    <xf numFmtId="176" fontId="69" fillId="0" borderId="11" xfId="0" applyNumberFormat="1" applyFont="1" applyBorder="1">
      <alignment vertical="center"/>
    </xf>
    <xf numFmtId="176" fontId="69" fillId="0" borderId="100" xfId="0" applyNumberFormat="1" applyFont="1" applyBorder="1">
      <alignment vertical="center"/>
    </xf>
    <xf numFmtId="0" fontId="36" fillId="16" borderId="31" xfId="7" applyFont="1" applyFill="1" applyBorder="1" applyAlignment="1">
      <alignment horizontal="right" vertical="center" shrinkToFit="1"/>
    </xf>
    <xf numFmtId="0" fontId="36" fillId="16" borderId="91" xfId="7" applyFont="1" applyFill="1" applyBorder="1" applyAlignment="1">
      <alignment horizontal="right" vertical="center" shrinkToFit="1"/>
    </xf>
    <xf numFmtId="176" fontId="7" fillId="0" borderId="90" xfId="0" applyNumberFormat="1" applyFont="1" applyBorder="1" applyAlignment="1">
      <alignment horizontal="right" vertical="center"/>
    </xf>
    <xf numFmtId="176" fontId="7" fillId="0" borderId="29" xfId="0" applyNumberFormat="1" applyFont="1" applyBorder="1" applyAlignment="1">
      <alignment horizontal="right" vertical="center"/>
    </xf>
    <xf numFmtId="176" fontId="69" fillId="9" borderId="11" xfId="7" applyNumberFormat="1" applyFont="1" applyFill="1" applyBorder="1" applyAlignment="1">
      <alignment horizontal="center" vertical="center" shrinkToFit="1"/>
    </xf>
    <xf numFmtId="176" fontId="69" fillId="9" borderId="14" xfId="7" applyNumberFormat="1" applyFont="1" applyFill="1" applyBorder="1" applyAlignment="1">
      <alignment horizontal="center" vertical="center" shrinkToFit="1"/>
    </xf>
    <xf numFmtId="176" fontId="78" fillId="16" borderId="91" xfId="7" applyNumberFormat="1" applyFont="1" applyFill="1" applyBorder="1" applyAlignment="1">
      <alignment horizontal="center" vertical="center" shrinkToFit="1"/>
    </xf>
    <xf numFmtId="0" fontId="20" fillId="9" borderId="90" xfId="7" applyFont="1" applyFill="1" applyBorder="1" applyAlignment="1">
      <alignment horizontal="center" vertical="center" shrinkToFit="1"/>
    </xf>
    <xf numFmtId="0" fontId="20" fillId="9" borderId="14" xfId="7" applyFont="1" applyFill="1" applyBorder="1" applyAlignment="1">
      <alignment horizontal="center" vertical="center" shrinkToFit="1"/>
    </xf>
    <xf numFmtId="0" fontId="69" fillId="0" borderId="90" xfId="0" applyFont="1" applyBorder="1" applyAlignment="1">
      <alignment horizontal="center" vertical="center" wrapText="1"/>
    </xf>
    <xf numFmtId="0" fontId="69" fillId="0" borderId="1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176" fontId="18" fillId="0" borderId="90" xfId="7" applyNumberFormat="1" applyFont="1" applyBorder="1" applyAlignment="1">
      <alignment horizontal="center" vertical="center" shrinkToFit="1"/>
    </xf>
    <xf numFmtId="176" fontId="18" fillId="0" borderId="14" xfId="7" applyNumberFormat="1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21" fillId="0" borderId="106" xfId="7" applyFont="1" applyBorder="1" applyAlignment="1">
      <alignment horizontal="center" vertical="center" shrinkToFit="1"/>
    </xf>
    <xf numFmtId="0" fontId="28" fillId="0" borderId="106" xfId="7" applyFont="1" applyBorder="1" applyAlignment="1">
      <alignment horizontal="center" vertical="center" wrapText="1"/>
    </xf>
    <xf numFmtId="0" fontId="83" fillId="0" borderId="106" xfId="7" applyFont="1" applyBorder="1" applyAlignment="1">
      <alignment horizontal="center" vertical="center" wrapText="1"/>
    </xf>
    <xf numFmtId="0" fontId="66" fillId="0" borderId="14" xfId="10" applyFont="1" applyBorder="1" applyAlignment="1">
      <alignment horizontal="center" vertical="center"/>
    </xf>
    <xf numFmtId="0" fontId="21" fillId="0" borderId="14" xfId="7" applyFont="1" applyBorder="1" applyAlignment="1">
      <alignment horizontal="center" vertical="center" shrinkToFit="1"/>
    </xf>
    <xf numFmtId="0" fontId="28" fillId="0" borderId="14" xfId="7" applyFont="1" applyBorder="1" applyAlignment="1">
      <alignment horizontal="center" vertical="center" wrapText="1"/>
    </xf>
    <xf numFmtId="0" fontId="83" fillId="0" borderId="14" xfId="7" applyFont="1" applyBorder="1" applyAlignment="1">
      <alignment horizontal="center" vertical="center" wrapText="1"/>
    </xf>
    <xf numFmtId="0" fontId="66" fillId="0" borderId="131" xfId="10" applyFont="1" applyBorder="1" applyAlignment="1">
      <alignment horizontal="center" vertical="center"/>
    </xf>
    <xf numFmtId="0" fontId="66" fillId="0" borderId="11" xfId="10" applyFont="1" applyBorder="1" applyAlignment="1">
      <alignment horizontal="center" vertical="center"/>
    </xf>
    <xf numFmtId="0" fontId="66" fillId="0" borderId="0" xfId="10" applyFont="1" applyAlignment="1">
      <alignment horizontal="center" vertical="center"/>
    </xf>
    <xf numFmtId="0" fontId="66" fillId="0" borderId="31" xfId="10" applyFont="1" applyBorder="1" applyAlignment="1">
      <alignment horizontal="center" vertical="center"/>
    </xf>
    <xf numFmtId="0" fontId="21" fillId="0" borderId="9" xfId="7" applyFont="1" applyBorder="1" applyAlignment="1">
      <alignment horizontal="center" vertical="center" shrinkToFit="1"/>
    </xf>
    <xf numFmtId="0" fontId="28" fillId="0" borderId="9" xfId="7" applyFont="1" applyBorder="1" applyAlignment="1">
      <alignment horizontal="center" vertical="center" wrapText="1"/>
    </xf>
    <xf numFmtId="0" fontId="83" fillId="0" borderId="9" xfId="7" applyFont="1" applyBorder="1" applyAlignment="1">
      <alignment horizontal="center" vertical="center" wrapText="1"/>
    </xf>
    <xf numFmtId="0" fontId="66" fillId="16" borderId="91" xfId="7" applyFont="1" applyFill="1" applyBorder="1" applyAlignment="1">
      <alignment horizontal="center" vertical="center" shrinkToFit="1"/>
    </xf>
    <xf numFmtId="0" fontId="12" fillId="16" borderId="91" xfId="0" applyFont="1" applyFill="1" applyBorder="1">
      <alignment vertical="center"/>
    </xf>
    <xf numFmtId="176" fontId="84" fillId="16" borderId="91" xfId="7" applyNumberFormat="1" applyFont="1" applyFill="1" applyBorder="1" applyAlignment="1">
      <alignment horizontal="center" vertical="center" shrinkToFit="1"/>
    </xf>
    <xf numFmtId="176" fontId="72" fillId="16" borderId="30" xfId="7" applyNumberFormat="1" applyFont="1" applyFill="1" applyBorder="1" applyAlignment="1">
      <alignment horizontal="center" vertical="center" shrinkToFit="1"/>
    </xf>
    <xf numFmtId="0" fontId="66" fillId="0" borderId="90" xfId="7" applyFont="1" applyBorder="1" applyAlignment="1">
      <alignment horizontal="center" vertical="center" shrinkToFit="1"/>
    </xf>
    <xf numFmtId="0" fontId="66" fillId="0" borderId="190" xfId="7" applyFont="1" applyBorder="1" applyAlignment="1">
      <alignment horizontal="center" vertical="center" shrinkToFit="1"/>
    </xf>
    <xf numFmtId="0" fontId="12" fillId="0" borderId="90" xfId="0" applyFont="1" applyBorder="1">
      <alignment vertical="center"/>
    </xf>
    <xf numFmtId="176" fontId="72" fillId="0" borderId="90" xfId="7" applyNumberFormat="1" applyFont="1" applyBorder="1" applyAlignment="1">
      <alignment horizontal="center" vertical="center" shrinkToFit="1"/>
    </xf>
    <xf numFmtId="176" fontId="84" fillId="0" borderId="90" xfId="7" applyNumberFormat="1" applyFont="1" applyBorder="1" applyAlignment="1">
      <alignment horizontal="center" vertical="center" shrinkToFit="1"/>
    </xf>
    <xf numFmtId="176" fontId="66" fillId="0" borderId="29" xfId="7" applyNumberFormat="1" applyFont="1" applyBorder="1" applyAlignment="1">
      <alignment horizontal="center" vertical="center" shrinkToFit="1"/>
    </xf>
    <xf numFmtId="0" fontId="66" fillId="9" borderId="11" xfId="7" applyFont="1" applyFill="1" applyBorder="1" applyAlignment="1">
      <alignment horizontal="center" vertical="center" shrinkToFit="1"/>
    </xf>
    <xf numFmtId="0" fontId="66" fillId="0" borderId="191" xfId="10" applyFont="1" applyBorder="1" applyAlignment="1">
      <alignment horizontal="center" vertical="center"/>
    </xf>
    <xf numFmtId="0" fontId="66" fillId="0" borderId="132" xfId="10" applyFont="1" applyBorder="1" applyAlignment="1">
      <alignment horizontal="center" vertical="center"/>
    </xf>
    <xf numFmtId="0" fontId="0" fillId="0" borderId="11" xfId="0" applyBorder="1">
      <alignment vertical="center"/>
    </xf>
    <xf numFmtId="176" fontId="85" fillId="9" borderId="11" xfId="7" applyNumberFormat="1" applyFont="1" applyFill="1" applyBorder="1" applyAlignment="1">
      <alignment horizontal="center" vertical="center" shrinkToFit="1"/>
    </xf>
    <xf numFmtId="176" fontId="86" fillId="9" borderId="11" xfId="7" applyNumberFormat="1" applyFont="1" applyFill="1" applyBorder="1" applyAlignment="1">
      <alignment horizontal="center" vertical="center" shrinkToFit="1"/>
    </xf>
    <xf numFmtId="176" fontId="66" fillId="0" borderId="11" xfId="0" applyNumberFormat="1" applyFont="1" applyBorder="1" applyAlignment="1">
      <alignment horizontal="center" vertical="center"/>
    </xf>
    <xf numFmtId="176" fontId="66" fillId="0" borderId="100" xfId="0" applyNumberFormat="1" applyFont="1" applyBorder="1" applyAlignment="1">
      <alignment horizontal="center" vertical="center"/>
    </xf>
    <xf numFmtId="0" fontId="66" fillId="0" borderId="192" xfId="10" applyFont="1" applyBorder="1" applyAlignment="1">
      <alignment horizontal="center" vertical="center"/>
    </xf>
    <xf numFmtId="0" fontId="66" fillId="0" borderId="193" xfId="10" applyFont="1" applyBorder="1" applyAlignment="1">
      <alignment horizontal="center" vertical="center"/>
    </xf>
    <xf numFmtId="176" fontId="85" fillId="9" borderId="14" xfId="7" applyNumberFormat="1" applyFont="1" applyFill="1" applyBorder="1" applyAlignment="1">
      <alignment horizontal="center" vertical="center" shrinkToFit="1"/>
    </xf>
    <xf numFmtId="176" fontId="86" fillId="9" borderId="14" xfId="7" applyNumberFormat="1" applyFont="1" applyFill="1" applyBorder="1" applyAlignment="1">
      <alignment horizontal="center" vertical="center" shrinkToFit="1"/>
    </xf>
    <xf numFmtId="176" fontId="66" fillId="0" borderId="14" xfId="0" applyNumberFormat="1" applyFont="1" applyBorder="1" applyAlignment="1">
      <alignment horizontal="center" vertical="center"/>
    </xf>
    <xf numFmtId="176" fontId="66" fillId="0" borderId="10" xfId="0" applyNumberFormat="1" applyFont="1" applyBorder="1" applyAlignment="1">
      <alignment horizontal="center" vertical="center"/>
    </xf>
    <xf numFmtId="176" fontId="64" fillId="0" borderId="11" xfId="0" applyNumberFormat="1" applyFont="1" applyBorder="1" applyAlignment="1">
      <alignment horizontal="center" vertical="center"/>
    </xf>
    <xf numFmtId="176" fontId="64" fillId="0" borderId="100" xfId="0" applyNumberFormat="1" applyFont="1" applyBorder="1" applyAlignment="1">
      <alignment horizontal="center" vertical="center"/>
    </xf>
    <xf numFmtId="176" fontId="64" fillId="0" borderId="14" xfId="0" applyNumberFormat="1" applyFont="1" applyBorder="1" applyAlignment="1">
      <alignment horizontal="center" vertical="center"/>
    </xf>
    <xf numFmtId="176" fontId="64" fillId="0" borderId="10" xfId="0" applyNumberFormat="1" applyFont="1" applyBorder="1" applyAlignment="1">
      <alignment horizontal="center" vertical="center"/>
    </xf>
    <xf numFmtId="176" fontId="64" fillId="0" borderId="14" xfId="7" applyNumberFormat="1" applyFont="1" applyBorder="1" applyAlignment="1">
      <alignment horizontal="center" vertical="center" shrinkToFit="1"/>
    </xf>
    <xf numFmtId="176" fontId="64" fillId="0" borderId="31" xfId="0" applyNumberFormat="1" applyFont="1" applyBorder="1" applyAlignment="1">
      <alignment horizontal="center" vertical="center"/>
    </xf>
    <xf numFmtId="176" fontId="64" fillId="0" borderId="102" xfId="0" applyNumberFormat="1" applyFont="1" applyBorder="1" applyAlignment="1">
      <alignment horizontal="center" vertical="center"/>
    </xf>
    <xf numFmtId="176" fontId="71" fillId="16" borderId="30" xfId="7" applyNumberFormat="1" applyFont="1" applyFill="1" applyBorder="1" applyAlignment="1">
      <alignment horizontal="center" vertical="center" shrinkToFit="1"/>
    </xf>
    <xf numFmtId="176" fontId="64" fillId="0" borderId="90" xfId="0" applyNumberFormat="1" applyFont="1" applyBorder="1" applyAlignment="1">
      <alignment horizontal="center" vertical="center"/>
    </xf>
    <xf numFmtId="176" fontId="64" fillId="0" borderId="29" xfId="0" applyNumberFormat="1" applyFont="1" applyBorder="1" applyAlignment="1">
      <alignment horizontal="center" vertical="center"/>
    </xf>
    <xf numFmtId="0" fontId="64" fillId="16" borderId="31" xfId="7" applyFont="1" applyFill="1" applyBorder="1" applyAlignment="1">
      <alignment horizontal="center" vertical="center" shrinkToFit="1"/>
    </xf>
    <xf numFmtId="176" fontId="71" fillId="16" borderId="31" xfId="7" applyNumberFormat="1" applyFont="1" applyFill="1" applyBorder="1" applyAlignment="1">
      <alignment horizontal="center" vertical="center" shrinkToFit="1"/>
    </xf>
    <xf numFmtId="176" fontId="71" fillId="16" borderId="102" xfId="7" applyNumberFormat="1" applyFont="1" applyFill="1" applyBorder="1" applyAlignment="1">
      <alignment horizontal="center" vertical="center" shrinkToFit="1"/>
    </xf>
    <xf numFmtId="0" fontId="66" fillId="0" borderId="195" xfId="10" applyFont="1" applyBorder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176" fontId="66" fillId="0" borderId="90" xfId="0" applyNumberFormat="1" applyFont="1" applyBorder="1" applyAlignment="1">
      <alignment horizontal="center" vertical="center"/>
    </xf>
    <xf numFmtId="176" fontId="66" fillId="0" borderId="29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2" fillId="16" borderId="196" xfId="7" applyFont="1" applyFill="1" applyBorder="1" applyAlignment="1">
      <alignment horizontal="center" vertical="center" shrinkToFit="1"/>
    </xf>
    <xf numFmtId="176" fontId="72" fillId="16" borderId="91" xfId="0" applyNumberFormat="1" applyFont="1" applyFill="1" applyBorder="1" applyAlignment="1">
      <alignment horizontal="center" vertical="center"/>
    </xf>
    <xf numFmtId="176" fontId="72" fillId="16" borderId="30" xfId="0" applyNumberFormat="1" applyFont="1" applyFill="1" applyBorder="1" applyAlignment="1">
      <alignment horizontal="center" vertical="center"/>
    </xf>
    <xf numFmtId="0" fontId="66" fillId="0" borderId="126" xfId="10" applyFont="1" applyBorder="1" applyAlignment="1">
      <alignment horizontal="center" vertical="center"/>
    </xf>
    <xf numFmtId="0" fontId="66" fillId="9" borderId="9" xfId="7" applyFont="1" applyFill="1" applyBorder="1" applyAlignment="1">
      <alignment horizontal="center" vertical="center" shrinkToFit="1"/>
    </xf>
    <xf numFmtId="0" fontId="65" fillId="0" borderId="108" xfId="10" applyFont="1" applyBorder="1" applyAlignment="1">
      <alignment horizontal="center" vertical="center"/>
    </xf>
    <xf numFmtId="0" fontId="65" fillId="0" borderId="31" xfId="10" applyFont="1" applyBorder="1" applyAlignment="1">
      <alignment horizontal="center" vertical="center"/>
    </xf>
    <xf numFmtId="176" fontId="66" fillId="9" borderId="9" xfId="7" applyNumberFormat="1" applyFont="1" applyFill="1" applyBorder="1" applyAlignment="1">
      <alignment horizontal="center" vertical="center" shrinkToFit="1"/>
    </xf>
    <xf numFmtId="0" fontId="65" fillId="0" borderId="133" xfId="10" applyFont="1" applyBorder="1" applyAlignment="1">
      <alignment horizontal="center" vertical="center"/>
    </xf>
    <xf numFmtId="0" fontId="65" fillId="0" borderId="11" xfId="10" applyFont="1" applyBorder="1" applyAlignment="1">
      <alignment horizontal="center" vertical="center"/>
    </xf>
    <xf numFmtId="0" fontId="65" fillId="0" borderId="131" xfId="10" applyFont="1" applyBorder="1" applyAlignment="1">
      <alignment horizontal="center" vertical="center"/>
    </xf>
    <xf numFmtId="0" fontId="64" fillId="0" borderId="14" xfId="10" applyFont="1" applyBorder="1" applyAlignment="1">
      <alignment horizontal="center" vertical="center"/>
    </xf>
    <xf numFmtId="0" fontId="66" fillId="0" borderId="11" xfId="7" applyFont="1" applyBorder="1" applyAlignment="1">
      <alignment horizontal="center" vertical="center" shrinkToFit="1"/>
    </xf>
    <xf numFmtId="176" fontId="72" fillId="0" borderId="11" xfId="7" applyNumberFormat="1" applyFont="1" applyBorder="1" applyAlignment="1">
      <alignment horizontal="center" vertical="center" shrinkToFit="1"/>
    </xf>
    <xf numFmtId="176" fontId="66" fillId="0" borderId="100" xfId="7" applyNumberFormat="1" applyFont="1" applyBorder="1" applyAlignment="1">
      <alignment horizontal="center" vertical="center" shrinkToFit="1"/>
    </xf>
    <xf numFmtId="0" fontId="72" fillId="16" borderId="31" xfId="7" applyFont="1" applyFill="1" applyBorder="1" applyAlignment="1">
      <alignment horizontal="center" vertical="center" shrinkToFit="1"/>
    </xf>
    <xf numFmtId="0" fontId="66" fillId="16" borderId="31" xfId="7" applyFont="1" applyFill="1" applyBorder="1" applyAlignment="1">
      <alignment horizontal="center" vertical="center" shrinkToFit="1"/>
    </xf>
    <xf numFmtId="176" fontId="72" fillId="16" borderId="31" xfId="7" applyNumberFormat="1" applyFont="1" applyFill="1" applyBorder="1" applyAlignment="1">
      <alignment horizontal="center" vertical="center" shrinkToFit="1"/>
    </xf>
    <xf numFmtId="176" fontId="72" fillId="16" borderId="102" xfId="7" applyNumberFormat="1" applyFont="1" applyFill="1" applyBorder="1" applyAlignment="1">
      <alignment horizontal="center" vertical="center" shrinkToFit="1"/>
    </xf>
    <xf numFmtId="0" fontId="66" fillId="0" borderId="106" xfId="10" applyFont="1" applyBorder="1" applyAlignment="1">
      <alignment horizontal="center" vertical="center"/>
    </xf>
    <xf numFmtId="0" fontId="66" fillId="0" borderId="27" xfId="10" applyFont="1" applyBorder="1" applyAlignment="1">
      <alignment horizontal="center" vertical="center"/>
    </xf>
    <xf numFmtId="0" fontId="66" fillId="0" borderId="90" xfId="10" applyFont="1" applyBorder="1" applyAlignment="1">
      <alignment horizontal="center" vertical="center"/>
    </xf>
    <xf numFmtId="0" fontId="66" fillId="0" borderId="9" xfId="10" applyFont="1" applyBorder="1" applyAlignment="1">
      <alignment horizontal="center" vertical="center"/>
    </xf>
    <xf numFmtId="0" fontId="66" fillId="0" borderId="197" xfId="10" applyFont="1" applyBorder="1" applyAlignment="1">
      <alignment horizontal="center" vertical="center"/>
    </xf>
    <xf numFmtId="0" fontId="66" fillId="0" borderId="197" xfId="0" applyFont="1" applyBorder="1" applyAlignment="1">
      <alignment horizontal="center" vertical="center"/>
    </xf>
    <xf numFmtId="176" fontId="72" fillId="0" borderId="14" xfId="7" applyNumberFormat="1" applyFont="1" applyBorder="1" applyAlignment="1">
      <alignment horizontal="center" vertical="center" shrinkToFit="1"/>
    </xf>
    <xf numFmtId="0" fontId="72" fillId="16" borderId="31" xfId="0" applyFont="1" applyFill="1" applyBorder="1" applyAlignment="1">
      <alignment horizontal="center" vertical="center"/>
    </xf>
    <xf numFmtId="176" fontId="72" fillId="16" borderId="31" xfId="0" applyNumberFormat="1" applyFont="1" applyFill="1" applyBorder="1" applyAlignment="1">
      <alignment horizontal="center" vertical="center"/>
    </xf>
    <xf numFmtId="176" fontId="72" fillId="16" borderId="102" xfId="0" applyNumberFormat="1" applyFont="1" applyFill="1" applyBorder="1" applyAlignment="1">
      <alignment horizontal="center" vertical="center"/>
    </xf>
    <xf numFmtId="0" fontId="21" fillId="0" borderId="110" xfId="10" applyBorder="1" applyAlignment="1">
      <alignment horizontal="center" vertical="center"/>
    </xf>
    <xf numFmtId="176" fontId="0" fillId="0" borderId="110" xfId="0" applyNumberFormat="1" applyBorder="1" applyAlignment="1">
      <alignment horizontal="center" vertical="center"/>
    </xf>
    <xf numFmtId="0" fontId="37" fillId="0" borderId="90" xfId="7" applyFont="1" applyBorder="1" applyAlignment="1">
      <alignment horizontal="center" vertical="center" shrinkToFit="1"/>
    </xf>
    <xf numFmtId="176" fontId="0" fillId="0" borderId="90" xfId="0" applyNumberForma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0" fontId="21" fillId="0" borderId="131" xfId="10" applyBorder="1" applyAlignment="1">
      <alignment horizontal="center" vertical="center"/>
    </xf>
    <xf numFmtId="176" fontId="0" fillId="0" borderId="104" xfId="0" applyNumberFormat="1" applyBorder="1" applyAlignment="1">
      <alignment horizontal="center" vertical="center"/>
    </xf>
    <xf numFmtId="0" fontId="37" fillId="0" borderId="14" xfId="7" applyFont="1" applyBorder="1" applyAlignment="1">
      <alignment horizontal="center" vertical="center" shrinkToFit="1"/>
    </xf>
    <xf numFmtId="176" fontId="0" fillId="0" borderId="14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37" fillId="0" borderId="131" xfId="10" applyFont="1" applyBorder="1" applyAlignment="1">
      <alignment horizontal="center" vertical="center"/>
    </xf>
    <xf numFmtId="0" fontId="72" fillId="16" borderId="107" xfId="7" applyFont="1" applyFill="1" applyBorder="1" applyAlignment="1">
      <alignment horizontal="center" vertical="center" shrinkToFit="1"/>
    </xf>
    <xf numFmtId="0" fontId="37" fillId="16" borderId="91" xfId="7" applyFont="1" applyFill="1" applyBorder="1" applyAlignment="1">
      <alignment horizontal="center" vertical="center" shrinkToFit="1"/>
    </xf>
    <xf numFmtId="176" fontId="12" fillId="16" borderId="91" xfId="0" applyNumberFormat="1" applyFont="1" applyFill="1" applyBorder="1" applyAlignment="1">
      <alignment horizontal="center" vertical="center"/>
    </xf>
    <xf numFmtId="176" fontId="12" fillId="16" borderId="30" xfId="0" applyNumberFormat="1" applyFont="1" applyFill="1" applyBorder="1" applyAlignment="1">
      <alignment horizontal="center" vertical="center"/>
    </xf>
    <xf numFmtId="49" fontId="66" fillId="0" borderId="147" xfId="7" applyNumberFormat="1" applyFont="1" applyBorder="1" applyAlignment="1">
      <alignment horizontal="center" vertical="center" shrinkToFit="1"/>
    </xf>
    <xf numFmtId="49" fontId="66" fillId="0" borderId="126" xfId="7" applyNumberFormat="1" applyFont="1" applyBorder="1" applyAlignment="1">
      <alignment horizontal="center" vertical="center" shrinkToFit="1"/>
    </xf>
    <xf numFmtId="0" fontId="88" fillId="0" borderId="14" xfId="0" applyFont="1" applyBorder="1" applyAlignment="1">
      <alignment horizontal="center" vertical="center" wrapText="1"/>
    </xf>
    <xf numFmtId="176" fontId="66" fillId="0" borderId="102" xfId="0" applyNumberFormat="1" applyFont="1" applyBorder="1" applyAlignment="1">
      <alignment horizontal="center" vertical="center"/>
    </xf>
    <xf numFmtId="0" fontId="21" fillId="0" borderId="106" xfId="7" applyFont="1" applyBorder="1" applyAlignment="1">
      <alignment horizontal="center" vertical="center" wrapText="1"/>
    </xf>
    <xf numFmtId="0" fontId="21" fillId="0" borderId="14" xfId="7" applyFont="1" applyBorder="1" applyAlignment="1">
      <alignment horizontal="center" vertical="center" wrapText="1"/>
    </xf>
    <xf numFmtId="0" fontId="21" fillId="0" borderId="9" xfId="7" applyFont="1" applyBorder="1" applyAlignment="1">
      <alignment horizontal="center" vertical="center" wrapText="1"/>
    </xf>
    <xf numFmtId="176" fontId="64" fillId="0" borderId="90" xfId="7" applyNumberFormat="1" applyFont="1" applyBorder="1" applyAlignment="1">
      <alignment horizontal="center" vertical="center" shrinkToFit="1"/>
    </xf>
    <xf numFmtId="0" fontId="64" fillId="0" borderId="27" xfId="10" applyFont="1" applyBorder="1" applyAlignment="1">
      <alignment horizontal="center" vertical="center"/>
    </xf>
    <xf numFmtId="0" fontId="64" fillId="0" borderId="119" xfId="10" applyFont="1" applyBorder="1" applyAlignment="1">
      <alignment horizontal="center" vertical="center"/>
    </xf>
    <xf numFmtId="0" fontId="64" fillId="0" borderId="104" xfId="0" applyFont="1" applyBorder="1" applyAlignment="1">
      <alignment horizontal="center" vertical="center" wrapText="1"/>
    </xf>
    <xf numFmtId="176" fontId="64" fillId="9" borderId="106" xfId="7" applyNumberFormat="1" applyFont="1" applyFill="1" applyBorder="1" applyAlignment="1">
      <alignment horizontal="center" vertical="center" shrinkToFit="1"/>
    </xf>
    <xf numFmtId="176" fontId="66" fillId="9" borderId="106" xfId="7" applyNumberFormat="1" applyFont="1" applyFill="1" applyBorder="1" applyAlignment="1">
      <alignment horizontal="center" vertical="center" shrinkToFit="1"/>
    </xf>
    <xf numFmtId="176" fontId="72" fillId="16" borderId="107" xfId="7" applyNumberFormat="1" applyFont="1" applyFill="1" applyBorder="1" applyAlignment="1">
      <alignment horizontal="center" vertical="center" shrinkToFit="1"/>
    </xf>
    <xf numFmtId="176" fontId="66" fillId="0" borderId="106" xfId="7" applyNumberFormat="1" applyFont="1" applyBorder="1" applyAlignment="1">
      <alignment horizontal="center" vertical="center" shrinkToFit="1"/>
    </xf>
    <xf numFmtId="176" fontId="37" fillId="0" borderId="106" xfId="7" applyNumberFormat="1" applyFont="1" applyBorder="1" applyAlignment="1">
      <alignment horizontal="center" vertical="center" shrinkToFit="1"/>
    </xf>
    <xf numFmtId="0" fontId="21" fillId="0" borderId="106" xfId="7" applyFont="1" applyBorder="1" applyAlignment="1">
      <alignment horizontal="center" vertical="center"/>
    </xf>
    <xf numFmtId="0" fontId="21" fillId="0" borderId="189" xfId="7" applyFont="1" applyBorder="1" applyAlignment="1">
      <alignment horizontal="center" vertical="center"/>
    </xf>
    <xf numFmtId="0" fontId="21" fillId="0" borderId="14" xfId="7" applyFont="1" applyBorder="1" applyAlignment="1">
      <alignment horizontal="center" vertical="center"/>
    </xf>
    <xf numFmtId="0" fontId="21" fillId="0" borderId="102" xfId="7" applyFont="1" applyBorder="1" applyAlignment="1">
      <alignment horizontal="center" vertical="center"/>
    </xf>
    <xf numFmtId="0" fontId="21" fillId="0" borderId="10" xfId="7" applyFont="1" applyBorder="1" applyAlignment="1">
      <alignment horizontal="center" vertical="center"/>
    </xf>
    <xf numFmtId="0" fontId="21" fillId="0" borderId="9" xfId="7" applyFont="1" applyBorder="1" applyAlignment="1">
      <alignment horizontal="center" vertical="center"/>
    </xf>
    <xf numFmtId="0" fontId="21" fillId="0" borderId="180" xfId="7" applyFont="1" applyBorder="1" applyAlignment="1">
      <alignment horizontal="center" vertical="center"/>
    </xf>
    <xf numFmtId="176" fontId="66" fillId="0" borderId="180" xfId="7" applyNumberFormat="1" applyFont="1" applyBorder="1" applyAlignment="1">
      <alignment horizontal="center" vertical="center" shrinkToFit="1"/>
    </xf>
    <xf numFmtId="176" fontId="66" fillId="0" borderId="10" xfId="7" applyNumberFormat="1" applyFont="1" applyBorder="1" applyAlignment="1">
      <alignment horizontal="center" vertical="center" shrinkToFit="1"/>
    </xf>
    <xf numFmtId="0" fontId="0" fillId="0" borderId="6" xfId="0" applyBorder="1">
      <alignment vertical="center"/>
    </xf>
    <xf numFmtId="176" fontId="64" fillId="0" borderId="189" xfId="0" applyNumberFormat="1" applyFont="1" applyBorder="1" applyAlignment="1">
      <alignment horizontal="center" vertical="center"/>
    </xf>
    <xf numFmtId="176" fontId="66" fillId="0" borderId="189" xfId="0" applyNumberFormat="1" applyFont="1" applyBorder="1" applyAlignment="1">
      <alignment horizontal="center" vertical="center"/>
    </xf>
    <xf numFmtId="176" fontId="66" fillId="0" borderId="189" xfId="7" applyNumberFormat="1" applyFont="1" applyBorder="1" applyAlignment="1">
      <alignment horizontal="center" vertical="center" shrinkToFit="1"/>
    </xf>
    <xf numFmtId="176" fontId="66" fillId="0" borderId="102" xfId="7" applyNumberFormat="1" applyFont="1" applyBorder="1" applyAlignment="1">
      <alignment horizontal="center" vertical="center" shrinkToFit="1"/>
    </xf>
    <xf numFmtId="176" fontId="64" fillId="0" borderId="106" xfId="0" applyNumberFormat="1" applyFont="1" applyBorder="1" applyAlignment="1">
      <alignment horizontal="center" vertical="center"/>
    </xf>
    <xf numFmtId="176" fontId="66" fillId="0" borderId="106" xfId="0" applyNumberFormat="1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/>
    </xf>
    <xf numFmtId="49" fontId="66" fillId="0" borderId="199" xfId="7" applyNumberFormat="1" applyFont="1" applyBorder="1" applyAlignment="1">
      <alignment horizontal="center" vertical="center" shrinkToFit="1"/>
    </xf>
    <xf numFmtId="49" fontId="66" fillId="0" borderId="187" xfId="7" applyNumberFormat="1" applyFont="1" applyBorder="1" applyAlignment="1">
      <alignment horizontal="center" vertical="center" shrinkToFit="1"/>
    </xf>
    <xf numFmtId="176" fontId="66" fillId="9" borderId="29" xfId="7" applyNumberFormat="1" applyFont="1" applyFill="1" applyBorder="1" applyAlignment="1">
      <alignment horizontal="center" vertical="center" shrinkToFit="1"/>
    </xf>
    <xf numFmtId="176" fontId="66" fillId="9" borderId="100" xfId="7" applyNumberFormat="1" applyFont="1" applyFill="1" applyBorder="1" applyAlignment="1">
      <alignment horizontal="center" vertical="center" shrinkToFit="1"/>
    </xf>
    <xf numFmtId="176" fontId="72" fillId="16" borderId="31" xfId="7" applyNumberFormat="1" applyFont="1" applyFill="1" applyBorder="1" applyAlignment="1">
      <alignment horizontal="right" vertical="center" shrinkToFit="1"/>
    </xf>
    <xf numFmtId="176" fontId="72" fillId="16" borderId="102" xfId="7" applyNumberFormat="1" applyFont="1" applyFill="1" applyBorder="1" applyAlignment="1">
      <alignment horizontal="right" vertical="center" shrinkToFit="1"/>
    </xf>
    <xf numFmtId="176" fontId="37" fillId="0" borderId="11" xfId="7" applyNumberFormat="1" applyFont="1" applyBorder="1" applyAlignment="1">
      <alignment horizontal="right" vertical="center" shrinkToFit="1"/>
    </xf>
    <xf numFmtId="0" fontId="36" fillId="16" borderId="30" xfId="7" applyFont="1" applyFill="1" applyBorder="1" applyAlignment="1">
      <alignment horizontal="right" vertical="center" shrinkToFit="1"/>
    </xf>
    <xf numFmtId="176" fontId="7" fillId="0" borderId="106" xfId="0" applyNumberFormat="1" applyFont="1" applyBorder="1">
      <alignment vertical="center"/>
    </xf>
    <xf numFmtId="176" fontId="7" fillId="0" borderId="189" xfId="0" applyNumberFormat="1" applyFont="1" applyBorder="1">
      <alignment vertical="center"/>
    </xf>
    <xf numFmtId="0" fontId="72" fillId="16" borderId="91" xfId="7" applyFont="1" applyFill="1" applyBorder="1" applyAlignment="1">
      <alignment horizontal="center" vertical="center" shrinkToFit="1"/>
    </xf>
    <xf numFmtId="0" fontId="64" fillId="0" borderId="90" xfId="10" applyFont="1" applyBorder="1" applyAlignment="1">
      <alignment horizontal="center" vertical="center"/>
    </xf>
    <xf numFmtId="176" fontId="64" fillId="0" borderId="11" xfId="7" applyNumberFormat="1" applyFont="1" applyBorder="1" applyAlignment="1">
      <alignment horizontal="center" vertical="center" shrinkToFit="1"/>
    </xf>
    <xf numFmtId="0" fontId="64" fillId="0" borderId="11" xfId="10" applyFont="1" applyBorder="1" applyAlignment="1">
      <alignment horizontal="center" vertical="center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12" fillId="8" borderId="92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/>
      <protection locked="0"/>
    </xf>
    <xf numFmtId="0" fontId="38" fillId="0" borderId="23" xfId="0" applyFont="1" applyBorder="1" applyAlignment="1" applyProtection="1">
      <alignment horizontal="center" vertical="center" wrapText="1"/>
      <protection locked="0"/>
    </xf>
    <xf numFmtId="0" fontId="38" fillId="0" borderId="22" xfId="0" applyFont="1" applyBorder="1" applyAlignment="1" applyProtection="1">
      <alignment horizontal="center" vertical="center" wrapText="1"/>
      <protection locked="0"/>
    </xf>
    <xf numFmtId="0" fontId="38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82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79" xfId="0" applyFont="1" applyFill="1" applyBorder="1" applyAlignment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11" xfId="4" applyFont="1" applyFill="1" applyBorder="1" applyAlignment="1" applyProtection="1">
      <alignment horizontal="center" vertical="center" wrapText="1"/>
      <protection locked="0"/>
    </xf>
    <xf numFmtId="0" fontId="13" fillId="0" borderId="112" xfId="4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5" fillId="3" borderId="36" xfId="3" applyFont="1" applyBorder="1" applyAlignment="1" applyProtection="1">
      <alignment horizontal="center" vertical="center"/>
      <protection locked="0"/>
    </xf>
    <xf numFmtId="0" fontId="25" fillId="3" borderId="72" xfId="3" applyFont="1" applyBorder="1" applyAlignment="1" applyProtection="1">
      <alignment horizontal="center" vertical="center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6" borderId="32" xfId="4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24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39" fillId="15" borderId="13" xfId="0" applyFont="1" applyFill="1" applyBorder="1" applyAlignment="1">
      <alignment horizontal="center" vertical="center" wrapText="1"/>
    </xf>
    <xf numFmtId="0" fontId="39" fillId="15" borderId="16" xfId="0" applyFont="1" applyFill="1" applyBorder="1" applyAlignment="1">
      <alignment horizontal="center" vertical="center" wrapText="1"/>
    </xf>
    <xf numFmtId="0" fontId="23" fillId="13" borderId="23" xfId="0" applyFont="1" applyFill="1" applyBorder="1" applyAlignment="1" applyProtection="1">
      <alignment horizontal="center" vertical="center"/>
      <protection locked="0"/>
    </xf>
    <xf numFmtId="0" fontId="23" fillId="13" borderId="28" xfId="0" applyFont="1" applyFill="1" applyBorder="1" applyAlignment="1" applyProtection="1">
      <alignment horizontal="center" vertical="center"/>
      <protection locked="0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0" xfId="4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84" xfId="6" applyFont="1" applyFill="1" applyBorder="1" applyAlignment="1" applyProtection="1">
      <alignment horizontal="center" vertical="center" wrapText="1"/>
    </xf>
    <xf numFmtId="0" fontId="39" fillId="0" borderId="49" xfId="4" applyFont="1" applyFill="1" applyBorder="1" applyAlignment="1" applyProtection="1">
      <alignment horizontal="center" vertical="center" wrapText="1"/>
      <protection locked="0"/>
    </xf>
    <xf numFmtId="0" fontId="39" fillId="0" borderId="53" xfId="4" applyFont="1" applyFill="1" applyBorder="1" applyAlignment="1" applyProtection="1">
      <alignment horizontal="center" vertical="center" wrapText="1"/>
      <protection locked="0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0" borderId="48" xfId="2" applyFont="1" applyBorder="1" applyAlignment="1" applyProtection="1">
      <alignment horizontal="center" vertical="center" wrapText="1"/>
      <protection locked="0"/>
    </xf>
    <xf numFmtId="0" fontId="13" fillId="0" borderId="59" xfId="2" applyFont="1" applyBorder="1" applyAlignment="1" applyProtection="1">
      <alignment horizontal="center" vertical="center" wrapText="1"/>
      <protection locked="0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35" xfId="4" applyFont="1" applyFill="1" applyBorder="1" applyAlignment="1" applyProtection="1">
      <alignment horizontal="center" vertical="center" wrapText="1"/>
      <protection locked="0"/>
    </xf>
    <xf numFmtId="0" fontId="22" fillId="0" borderId="34" xfId="4" applyFont="1" applyFill="1" applyBorder="1" applyAlignment="1" applyProtection="1">
      <alignment horizontal="center" vertical="center" wrapText="1"/>
      <protection locked="0"/>
    </xf>
    <xf numFmtId="0" fontId="22" fillId="0" borderId="69" xfId="4" applyFont="1" applyFill="1" applyBorder="1" applyAlignment="1" applyProtection="1">
      <alignment horizontal="center" vertical="center" wrapText="1"/>
      <protection locked="0"/>
    </xf>
    <xf numFmtId="0" fontId="22" fillId="0" borderId="114" xfId="4" applyFont="1" applyFill="1" applyBorder="1" applyAlignment="1" applyProtection="1">
      <alignment horizontal="center" vertical="center" wrapText="1"/>
      <protection locked="0"/>
    </xf>
    <xf numFmtId="0" fontId="22" fillId="0" borderId="113" xfId="4" applyFont="1" applyFill="1" applyBorder="1" applyAlignment="1" applyProtection="1">
      <alignment horizontal="center" vertical="center" wrapText="1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22" fillId="0" borderId="53" xfId="4" applyFont="1" applyFill="1" applyBorder="1" applyAlignment="1" applyProtection="1">
      <alignment horizontal="center" vertical="center" wrapText="1"/>
      <protection locked="0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15" borderId="164" xfId="5" applyFont="1" applyFill="1" applyBorder="1" applyAlignment="1" applyProtection="1">
      <alignment horizontal="center" vertical="center" wrapText="1"/>
    </xf>
    <xf numFmtId="0" fontId="13" fillId="15" borderId="72" xfId="5" applyFont="1" applyFill="1" applyBorder="1" applyAlignment="1" applyProtection="1">
      <alignment horizontal="center" vertical="center" wrapText="1"/>
    </xf>
    <xf numFmtId="0" fontId="13" fillId="0" borderId="164" xfId="0" applyFont="1" applyBorder="1" applyAlignment="1" applyProtection="1">
      <alignment horizontal="center" vertical="center" shrinkToFit="1"/>
      <protection locked="0"/>
    </xf>
    <xf numFmtId="0" fontId="13" fillId="0" borderId="72" xfId="0" applyFont="1" applyBorder="1" applyAlignment="1" applyProtection="1">
      <alignment horizontal="center" vertical="center" shrinkToFit="1"/>
      <protection locked="0"/>
    </xf>
    <xf numFmtId="0" fontId="22" fillId="0" borderId="164" xfId="4" applyFont="1" applyFill="1" applyBorder="1" applyAlignment="1" applyProtection="1">
      <alignment horizontal="center" vertical="center" wrapText="1"/>
      <protection locked="0"/>
    </xf>
    <xf numFmtId="0" fontId="22" fillId="0" borderId="165" xfId="4" applyFont="1" applyFill="1" applyBorder="1" applyAlignment="1" applyProtection="1">
      <alignment horizontal="center" vertical="center" wrapText="1"/>
      <protection locked="0"/>
    </xf>
    <xf numFmtId="0" fontId="22" fillId="0" borderId="36" xfId="4" applyFont="1" applyFill="1" applyBorder="1" applyAlignment="1" applyProtection="1">
      <alignment horizontal="center" vertical="center" wrapText="1"/>
      <protection locked="0"/>
    </xf>
    <xf numFmtId="0" fontId="22" fillId="0" borderId="166" xfId="4" applyFont="1" applyFill="1" applyBorder="1" applyAlignment="1" applyProtection="1">
      <alignment horizontal="center" vertical="center" wrapText="1"/>
      <protection locked="0"/>
    </xf>
    <xf numFmtId="0" fontId="22" fillId="0" borderId="167" xfId="4" applyFont="1" applyFill="1" applyBorder="1" applyAlignment="1" applyProtection="1">
      <alignment horizontal="center" vertical="center" wrapText="1"/>
      <protection locked="0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53" xfId="2" applyFont="1" applyBorder="1" applyAlignment="1" applyProtection="1">
      <alignment horizontal="center" vertical="center" wrapText="1"/>
      <protection locked="0"/>
    </xf>
    <xf numFmtId="0" fontId="22" fillId="0" borderId="72" xfId="4" applyFont="1" applyFill="1" applyBorder="1" applyAlignment="1" applyProtection="1">
      <alignment horizontal="center" vertical="center" wrapText="1"/>
      <protection locked="0"/>
    </xf>
    <xf numFmtId="0" fontId="13" fillId="0" borderId="78" xfId="4" applyFont="1" applyFill="1" applyBorder="1" applyAlignment="1" applyProtection="1">
      <alignment horizontal="center" vertical="center" wrapTex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22" fillId="0" borderId="48" xfId="0" applyFont="1" applyBorder="1" applyAlignment="1" applyProtection="1">
      <alignment horizontal="center" vertical="center" shrinkToFit="1"/>
      <protection locked="0"/>
    </xf>
    <xf numFmtId="0" fontId="22" fillId="0" borderId="59" xfId="0" applyFont="1" applyBorder="1" applyAlignment="1" applyProtection="1">
      <alignment horizontal="center" vertical="center" shrinkToFit="1"/>
      <protection locked="0"/>
    </xf>
    <xf numFmtId="0" fontId="13" fillId="0" borderId="164" xfId="4" applyFont="1" applyFill="1" applyBorder="1" applyAlignment="1" applyProtection="1">
      <alignment horizontal="center" vertical="center" wrapText="1"/>
      <protection locked="0"/>
    </xf>
    <xf numFmtId="0" fontId="13" fillId="0" borderId="165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166" xfId="4" applyFont="1" applyFill="1" applyBorder="1" applyAlignment="1" applyProtection="1">
      <alignment horizontal="center" vertical="center" wrapText="1"/>
      <protection locked="0"/>
    </xf>
    <xf numFmtId="0" fontId="13" fillId="0" borderId="167" xfId="4" applyFont="1" applyFill="1" applyBorder="1" applyAlignment="1" applyProtection="1">
      <alignment horizontal="center" vertical="center" wrapText="1"/>
      <protection locked="0"/>
    </xf>
    <xf numFmtId="0" fontId="13" fillId="0" borderId="55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0" fontId="13" fillId="0" borderId="72" xfId="4" applyFont="1" applyFill="1" applyBorder="1" applyAlignment="1" applyProtection="1">
      <alignment horizontal="center" vertical="center" wrapText="1"/>
      <protection locked="0"/>
    </xf>
    <xf numFmtId="0" fontId="13" fillId="10" borderId="119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118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9" xfId="0" applyFont="1" applyBorder="1" applyAlignment="1" applyProtection="1">
      <alignment horizontal="center" vertical="center" shrinkToFit="1"/>
      <protection locked="0"/>
    </xf>
    <xf numFmtId="0" fontId="22" fillId="0" borderId="49" xfId="0" applyFont="1" applyBorder="1" applyAlignment="1" applyProtection="1">
      <alignment horizontal="center" vertical="center" shrinkToFit="1"/>
      <protection locked="0"/>
    </xf>
    <xf numFmtId="0" fontId="22" fillId="0" borderId="53" xfId="0" applyFont="1" applyBorder="1" applyAlignment="1" applyProtection="1">
      <alignment horizontal="center" vertical="center" shrinkToFit="1"/>
      <protection locked="0"/>
    </xf>
    <xf numFmtId="0" fontId="22" fillId="15" borderId="13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13" fillId="15" borderId="79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10" borderId="103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3" fillId="15" borderId="97" xfId="6" applyFont="1" applyFill="1" applyBorder="1" applyAlignment="1" applyProtection="1">
      <alignment horizontal="center" vertical="center" wrapText="1"/>
    </xf>
    <xf numFmtId="0" fontId="13" fillId="15" borderId="98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93" xfId="4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117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15" xfId="4" applyFont="1" applyFill="1" applyBorder="1" applyAlignment="1" applyProtection="1">
      <alignment horizontal="center" vertical="center" wrapText="1"/>
    </xf>
    <xf numFmtId="0" fontId="13" fillId="15" borderId="11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9" xfId="5" applyFont="1" applyFill="1" applyBorder="1" applyAlignment="1" applyProtection="1">
      <alignment horizontal="center" vertical="center" wrapText="1"/>
    </xf>
    <xf numFmtId="0" fontId="13" fillId="15" borderId="97" xfId="5" applyFont="1" applyFill="1" applyBorder="1" applyAlignment="1" applyProtection="1">
      <alignment horizontal="center" vertical="center" wrapText="1"/>
    </xf>
    <xf numFmtId="0" fontId="13" fillId="15" borderId="98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15" borderId="55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61" fillId="0" borderId="23" xfId="0" applyFont="1" applyBorder="1" applyAlignment="1" applyProtection="1">
      <alignment horizontal="center" vertical="center" wrapText="1"/>
      <protection locked="0"/>
    </xf>
    <xf numFmtId="0" fontId="61" fillId="0" borderId="22" xfId="0" applyFont="1" applyBorder="1" applyAlignment="1" applyProtection="1">
      <alignment horizontal="center" vertical="center" wrapText="1"/>
      <protection locked="0"/>
    </xf>
    <xf numFmtId="0" fontId="61" fillId="0" borderId="28" xfId="0" applyFont="1" applyBorder="1" applyAlignment="1" applyProtection="1">
      <alignment horizontal="center" vertical="center" wrapText="1"/>
      <protection locked="0"/>
    </xf>
    <xf numFmtId="0" fontId="22" fillId="0" borderId="71" xfId="0" applyFont="1" applyBorder="1" applyAlignment="1" applyProtection="1">
      <alignment horizontal="center" vertical="center" shrinkToFit="1"/>
      <protection locked="0"/>
    </xf>
    <xf numFmtId="0" fontId="22" fillId="0" borderId="52" xfId="0" applyFont="1" applyBorder="1" applyAlignment="1" applyProtection="1">
      <alignment horizontal="center" vertical="center" shrinkToFit="1"/>
      <protection locked="0"/>
    </xf>
    <xf numFmtId="0" fontId="13" fillId="0" borderId="40" xfId="4" applyFont="1" applyFill="1" applyBorder="1" applyAlignment="1" applyProtection="1">
      <alignment horizontal="center" vertical="center" wrapText="1"/>
      <protection locked="0"/>
    </xf>
    <xf numFmtId="0" fontId="13" fillId="0" borderId="41" xfId="4" applyFont="1" applyFill="1" applyBorder="1" applyAlignment="1" applyProtection="1">
      <alignment horizontal="center" vertical="center" wrapText="1"/>
      <protection locked="0"/>
    </xf>
    <xf numFmtId="0" fontId="13" fillId="0" borderId="42" xfId="4" applyFont="1" applyFill="1" applyBorder="1" applyAlignment="1" applyProtection="1">
      <alignment horizontal="center" vertical="center" wrapText="1"/>
      <protection locked="0"/>
    </xf>
    <xf numFmtId="0" fontId="22" fillId="0" borderId="163" xfId="0" applyFont="1" applyBorder="1" applyAlignment="1" applyProtection="1">
      <alignment horizontal="center" vertical="center" shrinkToFit="1"/>
      <protection locked="0"/>
    </xf>
    <xf numFmtId="0" fontId="22" fillId="0" borderId="96" xfId="0" applyFont="1" applyBorder="1" applyAlignment="1" applyProtection="1">
      <alignment horizontal="center" vertical="center" shrinkToFit="1"/>
      <protection locked="0"/>
    </xf>
    <xf numFmtId="0" fontId="13" fillId="15" borderId="163" xfId="4" applyFont="1" applyFill="1" applyBorder="1" applyAlignment="1" applyProtection="1">
      <alignment horizontal="center" vertical="center" wrapText="1"/>
    </xf>
    <xf numFmtId="0" fontId="13" fillId="15" borderId="96" xfId="4" applyFont="1" applyFill="1" applyBorder="1" applyAlignment="1" applyProtection="1">
      <alignment horizontal="center" vertical="center" wrapText="1"/>
    </xf>
    <xf numFmtId="0" fontId="13" fillId="0" borderId="171" xfId="4" applyFont="1" applyFill="1" applyBorder="1" applyAlignment="1" applyProtection="1">
      <alignment horizontal="center" vertical="center" wrapText="1"/>
      <protection locked="0"/>
    </xf>
    <xf numFmtId="0" fontId="13" fillId="0" borderId="170" xfId="4" applyFont="1" applyFill="1" applyBorder="1" applyAlignment="1" applyProtection="1">
      <alignment horizontal="center" vertical="center" wrapText="1"/>
      <protection locked="0"/>
    </xf>
    <xf numFmtId="0" fontId="13" fillId="0" borderId="200" xfId="4" applyFont="1" applyFill="1" applyBorder="1" applyAlignment="1" applyProtection="1">
      <alignment horizontal="center" vertical="center" wrapText="1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22" fillId="0" borderId="176" xfId="2" applyFont="1" applyBorder="1" applyAlignment="1" applyProtection="1">
      <alignment horizontal="center" vertical="center" wrapText="1"/>
      <protection locked="0"/>
    </xf>
    <xf numFmtId="0" fontId="22" fillId="0" borderId="177" xfId="2" applyFont="1" applyBorder="1" applyAlignment="1" applyProtection="1">
      <alignment horizontal="center" vertical="center" wrapText="1"/>
      <protection locked="0"/>
    </xf>
    <xf numFmtId="0" fontId="22" fillId="0" borderId="175" xfId="0" applyFont="1" applyBorder="1" applyAlignment="1" applyProtection="1">
      <alignment horizontal="center" vertical="center" shrinkToFit="1"/>
      <protection locked="0"/>
    </xf>
    <xf numFmtId="0" fontId="22" fillId="0" borderId="77" xfId="0" applyFont="1" applyBorder="1" applyAlignment="1" applyProtection="1">
      <alignment horizontal="center" vertical="center" shrinkToFit="1"/>
      <protection locked="0"/>
    </xf>
    <xf numFmtId="0" fontId="13" fillId="0" borderId="18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0" borderId="3" xfId="4" applyFont="1" applyFill="1" applyBorder="1" applyAlignment="1" applyProtection="1">
      <alignment horizontal="center" vertical="center" wrapText="1"/>
      <protection locked="0"/>
    </xf>
    <xf numFmtId="0" fontId="22" fillId="0" borderId="178" xfId="2" applyFont="1" applyBorder="1" applyAlignment="1" applyProtection="1">
      <alignment horizontal="center" vertical="center" wrapText="1"/>
      <protection locked="0"/>
    </xf>
    <xf numFmtId="0" fontId="22" fillId="0" borderId="179" xfId="2" applyFont="1" applyBorder="1" applyAlignment="1" applyProtection="1">
      <alignment horizontal="center" vertical="center" wrapText="1"/>
      <protection locked="0"/>
    </xf>
    <xf numFmtId="0" fontId="22" fillId="0" borderId="181" xfId="0" applyFont="1" applyBorder="1" applyAlignment="1" applyProtection="1">
      <alignment horizontal="center" vertical="center" shrinkToFit="1"/>
      <protection locked="0"/>
    </xf>
    <xf numFmtId="0" fontId="22" fillId="0" borderId="182" xfId="0" applyFont="1" applyBorder="1" applyAlignment="1" applyProtection="1">
      <alignment horizontal="center" vertical="center" shrinkToFit="1"/>
      <protection locked="0"/>
    </xf>
    <xf numFmtId="0" fontId="13" fillId="0" borderId="43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22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44" xfId="4" applyFont="1" applyFill="1" applyBorder="1" applyAlignment="1" applyProtection="1">
      <alignment horizontal="center" vertical="center" wrapText="1"/>
      <protection locked="0"/>
    </xf>
    <xf numFmtId="0" fontId="22" fillId="0" borderId="25" xfId="0" applyFont="1" applyBorder="1" applyAlignment="1" applyProtection="1">
      <alignment horizontal="center" vertical="center" shrinkToFit="1"/>
      <protection locked="0"/>
    </xf>
    <xf numFmtId="0" fontId="22" fillId="0" borderId="180" xfId="0" applyFont="1" applyBorder="1" applyAlignment="1" applyProtection="1">
      <alignment horizontal="center" vertical="center" shrinkToFit="1"/>
      <protection locked="0"/>
    </xf>
    <xf numFmtId="0" fontId="22" fillId="0" borderId="178" xfId="0" applyFont="1" applyBorder="1" applyAlignment="1" applyProtection="1">
      <alignment horizontal="center" vertical="center" shrinkToFit="1"/>
      <protection locked="0"/>
    </xf>
    <xf numFmtId="0" fontId="22" fillId="0" borderId="179" xfId="0" applyFont="1" applyBorder="1" applyAlignment="1" applyProtection="1">
      <alignment horizontal="center" vertical="center" shrinkToFit="1"/>
      <protection locked="0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22" fillId="0" borderId="41" xfId="4" applyFont="1" applyFill="1" applyBorder="1" applyAlignment="1" applyProtection="1">
      <alignment horizontal="center" vertical="center" wrapText="1"/>
      <protection locked="0"/>
    </xf>
    <xf numFmtId="0" fontId="22" fillId="0" borderId="51" xfId="0" applyFont="1" applyBorder="1" applyAlignment="1" applyProtection="1">
      <alignment horizontal="center" vertical="center" shrinkToFit="1"/>
      <protection locked="0"/>
    </xf>
    <xf numFmtId="0" fontId="22" fillId="0" borderId="47" xfId="0" applyFont="1" applyBorder="1" applyAlignment="1" applyProtection="1">
      <alignment horizontal="center" vertical="center" shrinkToFit="1"/>
      <protection locked="0"/>
    </xf>
    <xf numFmtId="0" fontId="22" fillId="0" borderId="69" xfId="0" applyFont="1" applyBorder="1" applyAlignment="1" applyProtection="1">
      <alignment horizontal="center" vertical="center" shrinkToFit="1"/>
      <protection locked="0"/>
    </xf>
    <xf numFmtId="0" fontId="22" fillId="0" borderId="42" xfId="4" applyFont="1" applyFill="1" applyBorder="1" applyAlignment="1" applyProtection="1">
      <alignment horizontal="center" vertical="center" wrapText="1"/>
      <protection locked="0"/>
    </xf>
    <xf numFmtId="0" fontId="13" fillId="0" borderId="45" xfId="4" applyFont="1" applyFill="1" applyBorder="1" applyAlignment="1" applyProtection="1">
      <alignment horizontal="center" vertical="center" wrapText="1"/>
      <protection locked="0"/>
    </xf>
    <xf numFmtId="0" fontId="13" fillId="0" borderId="46" xfId="4" applyFont="1" applyFill="1" applyBorder="1" applyAlignment="1" applyProtection="1">
      <alignment horizontal="center" vertical="center" wrapText="1"/>
      <protection locked="0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22" fillId="0" borderId="44" xfId="4" applyFont="1" applyFill="1" applyBorder="1" applyAlignment="1" applyProtection="1">
      <alignment horizontal="center" vertical="center" wrapText="1"/>
      <protection locked="0"/>
    </xf>
    <xf numFmtId="0" fontId="22" fillId="0" borderId="51" xfId="4" applyFont="1" applyFill="1" applyBorder="1" applyAlignment="1" applyProtection="1">
      <alignment horizontal="center" vertical="center" wrapText="1"/>
      <protection locked="0"/>
    </xf>
    <xf numFmtId="0" fontId="22" fillId="0" borderId="46" xfId="4" applyFont="1" applyFill="1" applyBorder="1" applyAlignment="1" applyProtection="1">
      <alignment horizontal="center" vertical="center" wrapText="1"/>
      <protection locked="0"/>
    </xf>
    <xf numFmtId="0" fontId="22" fillId="0" borderId="47" xfId="4" applyFont="1" applyFill="1" applyBorder="1" applyAlignment="1" applyProtection="1">
      <alignment horizontal="center" vertical="center" wrapText="1"/>
      <protection locked="0"/>
    </xf>
    <xf numFmtId="0" fontId="22" fillId="9" borderId="170" xfId="0" applyFont="1" applyFill="1" applyBorder="1" applyAlignment="1" applyProtection="1">
      <alignment horizontal="center" vertical="center" shrinkToFit="1"/>
      <protection locked="0"/>
    </xf>
    <xf numFmtId="0" fontId="22" fillId="9" borderId="96" xfId="0" applyFont="1" applyFill="1" applyBorder="1" applyAlignment="1" applyProtection="1">
      <alignment horizontal="center" vertical="center" shrinkToFit="1"/>
      <protection locked="0"/>
    </xf>
    <xf numFmtId="0" fontId="22" fillId="0" borderId="35" xfId="0" applyFont="1" applyBorder="1" applyAlignment="1" applyProtection="1">
      <alignment horizontal="center" vertical="center" shrinkToFit="1"/>
      <protection locked="0"/>
    </xf>
    <xf numFmtId="0" fontId="22" fillId="0" borderId="44" xfId="0" applyFont="1" applyBorder="1" applyAlignment="1" applyProtection="1">
      <alignment horizontal="center" vertical="center" shrinkToFit="1"/>
      <protection locked="0"/>
    </xf>
    <xf numFmtId="0" fontId="22" fillId="0" borderId="170" xfId="4" applyFont="1" applyFill="1" applyBorder="1" applyAlignment="1" applyProtection="1">
      <alignment horizontal="center" vertical="center" wrapText="1"/>
      <protection locked="0"/>
    </xf>
    <xf numFmtId="0" fontId="22" fillId="0" borderId="95" xfId="4" applyFont="1" applyFill="1" applyBorder="1" applyAlignment="1" applyProtection="1">
      <alignment horizontal="center" vertical="center" wrapText="1"/>
      <protection locked="0"/>
    </xf>
    <xf numFmtId="0" fontId="22" fillId="0" borderId="26" xfId="0" applyFont="1" applyBorder="1" applyAlignment="1" applyProtection="1">
      <alignment horizontal="center" vertical="center" shrinkToFit="1"/>
      <protection locked="0"/>
    </xf>
    <xf numFmtId="0" fontId="22" fillId="0" borderId="183" xfId="0" applyFont="1" applyBorder="1" applyAlignment="1" applyProtection="1">
      <alignment horizontal="center" vertical="center" shrinkToFit="1"/>
      <protection locked="0"/>
    </xf>
    <xf numFmtId="0" fontId="22" fillId="0" borderId="50" xfId="0" applyFont="1" applyBorder="1" applyAlignment="1" applyProtection="1">
      <alignment horizontal="center" vertical="center" shrinkToFit="1"/>
      <protection locked="0"/>
    </xf>
    <xf numFmtId="0" fontId="22" fillId="0" borderId="42" xfId="0" applyFont="1" applyBorder="1" applyAlignment="1" applyProtection="1">
      <alignment horizontal="center" vertical="center" shrinkToFit="1"/>
      <protection locked="0"/>
    </xf>
    <xf numFmtId="0" fontId="22" fillId="0" borderId="35" xfId="2" applyFont="1" applyBorder="1" applyAlignment="1" applyProtection="1">
      <alignment horizontal="center" vertical="center" wrapText="1"/>
      <protection locked="0"/>
    </xf>
    <xf numFmtId="0" fontId="22" fillId="0" borderId="44" xfId="2" applyFont="1" applyBorder="1" applyAlignment="1" applyProtection="1">
      <alignment horizontal="center" vertical="center" wrapText="1"/>
      <protection locked="0"/>
    </xf>
    <xf numFmtId="0" fontId="58" fillId="0" borderId="34" xfId="4" applyFont="1" applyFill="1" applyBorder="1" applyAlignment="1" applyProtection="1">
      <alignment horizontal="center" vertical="center" wrapText="1"/>
      <protection locked="0"/>
    </xf>
    <xf numFmtId="0" fontId="58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27" xfId="4" applyFont="1" applyFill="1" applyBorder="1" applyAlignment="1" applyProtection="1">
      <alignment horizontal="center" vertical="center" wrapText="1"/>
      <protection locked="0"/>
    </xf>
    <xf numFmtId="0" fontId="13" fillId="0" borderId="97" xfId="4" applyFont="1" applyFill="1" applyBorder="1" applyAlignment="1" applyProtection="1">
      <alignment horizontal="center" vertical="center" wrapText="1"/>
      <protection locked="0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24" xfId="0" applyFont="1" applyBorder="1" applyAlignment="1" applyProtection="1">
      <alignment horizontal="center" vertical="center" shrinkToFit="1"/>
      <protection locked="0"/>
    </xf>
    <xf numFmtId="0" fontId="13" fillId="0" borderId="83" xfId="4" applyFont="1" applyFill="1" applyBorder="1" applyAlignment="1" applyProtection="1">
      <alignment horizontal="center" vertical="center" wrapText="1"/>
      <protection locked="0"/>
    </xf>
    <xf numFmtId="0" fontId="13" fillId="0" borderId="82" xfId="4" applyFont="1" applyFill="1" applyBorder="1" applyAlignment="1" applyProtection="1">
      <alignment horizontal="center" vertical="center" wrapText="1"/>
      <protection locked="0"/>
    </xf>
    <xf numFmtId="0" fontId="13" fillId="0" borderId="184" xfId="4" applyFont="1" applyFill="1" applyBorder="1" applyAlignment="1" applyProtection="1">
      <alignment horizontal="center" vertical="center" wrapText="1"/>
      <protection locked="0"/>
    </xf>
    <xf numFmtId="0" fontId="60" fillId="0" borderId="49" xfId="4" applyFont="1" applyFill="1" applyBorder="1" applyAlignment="1" applyProtection="1">
      <alignment horizontal="center" vertical="center" wrapText="1"/>
      <protection locked="0"/>
    </xf>
    <xf numFmtId="0" fontId="60" fillId="0" borderId="53" xfId="4" applyFont="1" applyFill="1" applyBorder="1" applyAlignment="1" applyProtection="1">
      <alignment horizontal="center" vertical="center" wrapText="1"/>
      <protection locked="0"/>
    </xf>
    <xf numFmtId="0" fontId="22" fillId="0" borderId="62" xfId="4" applyFont="1" applyFill="1" applyBorder="1" applyAlignment="1" applyProtection="1">
      <alignment horizontal="center" vertical="center" wrapText="1"/>
      <protection locked="0"/>
    </xf>
    <xf numFmtId="0" fontId="22" fillId="0" borderId="21" xfId="4" applyFont="1" applyFill="1" applyBorder="1" applyAlignment="1" applyProtection="1">
      <alignment horizontal="center" vertical="center" wrapText="1"/>
      <protection locked="0"/>
    </xf>
    <xf numFmtId="0" fontId="22" fillId="0" borderId="48" xfId="2" applyFont="1" applyBorder="1" applyAlignment="1" applyProtection="1">
      <alignment horizontal="center" vertical="center" wrapText="1"/>
      <protection locked="0"/>
    </xf>
    <xf numFmtId="0" fontId="22" fillId="0" borderId="59" xfId="2" applyFont="1" applyBorder="1" applyAlignment="1" applyProtection="1">
      <alignment horizontal="center" vertical="center" wrapText="1"/>
      <protection locked="0"/>
    </xf>
    <xf numFmtId="0" fontId="22" fillId="0" borderId="18" xfId="0" applyFont="1" applyBorder="1" applyAlignment="1" applyProtection="1">
      <alignment horizontal="center" vertical="center" shrinkToFit="1"/>
      <protection locked="0"/>
    </xf>
    <xf numFmtId="0" fontId="22" fillId="0" borderId="21" xfId="0" applyFont="1" applyBorder="1" applyAlignment="1" applyProtection="1">
      <alignment horizontal="center" vertical="center" shrinkToFit="1"/>
      <protection locked="0"/>
    </xf>
    <xf numFmtId="0" fontId="22" fillId="0" borderId="18" xfId="4" applyFont="1" applyFill="1" applyBorder="1" applyAlignment="1" applyProtection="1">
      <alignment horizontal="center" vertical="center" wrapText="1"/>
      <protection locked="0"/>
    </xf>
    <xf numFmtId="0" fontId="22" fillId="0" borderId="60" xfId="4" applyFont="1" applyFill="1" applyBorder="1" applyAlignment="1" applyProtection="1">
      <alignment horizontal="center" vertical="center" wrapText="1"/>
      <protection locked="0"/>
    </xf>
    <xf numFmtId="0" fontId="22" fillId="0" borderId="87" xfId="4" applyFont="1" applyFill="1" applyBorder="1" applyAlignment="1" applyProtection="1">
      <alignment horizontal="center" vertical="center" wrapText="1"/>
      <protection locked="0"/>
    </xf>
    <xf numFmtId="0" fontId="22" fillId="0" borderId="117" xfId="4" applyFont="1" applyFill="1" applyBorder="1" applyAlignment="1" applyProtection="1">
      <alignment horizontal="center" vertical="center" wrapText="1"/>
      <protection locked="0"/>
    </xf>
    <xf numFmtId="0" fontId="22" fillId="0" borderId="3" xfId="4" applyFont="1" applyFill="1" applyBorder="1" applyAlignment="1" applyProtection="1">
      <alignment horizontal="center" vertical="center" wrapText="1"/>
      <protection locked="0"/>
    </xf>
    <xf numFmtId="0" fontId="22" fillId="0" borderId="80" xfId="4" applyFont="1" applyFill="1" applyBorder="1" applyAlignment="1" applyProtection="1">
      <alignment horizontal="center" vertical="center" wrapText="1"/>
      <protection locked="0"/>
    </xf>
    <xf numFmtId="0" fontId="22" fillId="0" borderId="55" xfId="0" applyFont="1" applyBorder="1" applyAlignment="1" applyProtection="1">
      <alignment horizontal="center" vertical="center" shrinkToFit="1"/>
      <protection locked="0"/>
    </xf>
    <xf numFmtId="0" fontId="22" fillId="0" borderId="97" xfId="2" applyFont="1" applyBorder="1" applyAlignment="1" applyProtection="1">
      <alignment horizontal="center" vertical="center" wrapText="1"/>
      <protection locked="0"/>
    </xf>
    <xf numFmtId="0" fontId="22" fillId="0" borderId="98" xfId="2" applyFont="1" applyBorder="1" applyAlignment="1" applyProtection="1">
      <alignment horizontal="center" vertical="center" wrapText="1"/>
      <protection locked="0"/>
    </xf>
    <xf numFmtId="0" fontId="13" fillId="0" borderId="174" xfId="4" applyFont="1" applyFill="1" applyBorder="1" applyAlignment="1" applyProtection="1">
      <alignment horizontal="center" vertical="center" wrapText="1"/>
      <protection locked="0"/>
    </xf>
    <xf numFmtId="0" fontId="13" fillId="0" borderId="173" xfId="4" applyFont="1" applyFill="1" applyBorder="1" applyAlignment="1" applyProtection="1">
      <alignment horizontal="center" vertical="center" wrapText="1"/>
      <protection locked="0"/>
    </xf>
    <xf numFmtId="0" fontId="13" fillId="0" borderId="76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72" fillId="16" borderId="91" xfId="7" applyFont="1" applyFill="1" applyBorder="1" applyAlignment="1">
      <alignment horizontal="center" vertical="center" shrinkToFit="1"/>
    </xf>
    <xf numFmtId="0" fontId="71" fillId="0" borderId="5" xfId="7" applyFont="1" applyBorder="1" applyAlignment="1">
      <alignment horizontal="center" vertical="center" wrapText="1"/>
    </xf>
    <xf numFmtId="0" fontId="71" fillId="0" borderId="99" xfId="7" applyFont="1" applyBorder="1" applyAlignment="1">
      <alignment horizontal="center" vertical="center" wrapText="1"/>
    </xf>
    <xf numFmtId="0" fontId="71" fillId="0" borderId="8" xfId="7" applyFont="1" applyBorder="1" applyAlignment="1">
      <alignment horizontal="center" vertical="center" wrapText="1"/>
    </xf>
    <xf numFmtId="176" fontId="72" fillId="9" borderId="90" xfId="7" applyNumberFormat="1" applyFont="1" applyFill="1" applyBorder="1" applyAlignment="1">
      <alignment horizontal="center" vertical="center" wrapText="1"/>
    </xf>
    <xf numFmtId="176" fontId="72" fillId="9" borderId="11" xfId="7" applyNumberFormat="1" applyFont="1" applyFill="1" applyBorder="1" applyAlignment="1">
      <alignment horizontal="center" vertical="center" wrapText="1"/>
    </xf>
    <xf numFmtId="0" fontId="72" fillId="9" borderId="91" xfId="7" applyFont="1" applyFill="1" applyBorder="1" applyAlignment="1">
      <alignment horizontal="center" vertical="center" wrapText="1"/>
    </xf>
    <xf numFmtId="0" fontId="71" fillId="0" borderId="92" xfId="7" applyFont="1" applyBorder="1" applyAlignment="1">
      <alignment horizontal="center" vertical="center" wrapText="1"/>
    </xf>
    <xf numFmtId="0" fontId="71" fillId="0" borderId="25" xfId="7" applyFont="1" applyBorder="1" applyAlignment="1">
      <alignment horizontal="center" vertical="center" wrapText="1"/>
    </xf>
    <xf numFmtId="0" fontId="71" fillId="0" borderId="26" xfId="7" applyFont="1" applyBorder="1" applyAlignment="1">
      <alignment horizontal="center" vertical="center" wrapText="1"/>
    </xf>
    <xf numFmtId="176" fontId="72" fillId="9" borderId="106" xfId="7" applyNumberFormat="1" applyFont="1" applyFill="1" applyBorder="1" applyAlignment="1">
      <alignment horizontal="center" vertical="center" wrapText="1"/>
    </xf>
    <xf numFmtId="176" fontId="72" fillId="9" borderId="9" xfId="7" applyNumberFormat="1" applyFont="1" applyFill="1" applyBorder="1" applyAlignment="1">
      <alignment horizontal="center" vertical="center" wrapText="1"/>
    </xf>
    <xf numFmtId="176" fontId="72" fillId="9" borderId="107" xfId="7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7" fillId="11" borderId="90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1" xfId="7" applyNumberFormat="1" applyFont="1" applyFill="1" applyBorder="1" applyAlignment="1" applyProtection="1">
      <alignment horizontal="center" vertical="center" shrinkToFit="1"/>
    </xf>
    <xf numFmtId="0" fontId="17" fillId="11" borderId="90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30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27" fillId="11" borderId="90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91" xfId="7" applyFont="1" applyFill="1" applyBorder="1" applyAlignment="1">
      <alignment horizontal="center" vertical="center"/>
    </xf>
    <xf numFmtId="0" fontId="18" fillId="0" borderId="5" xfId="7" applyFont="1" applyBorder="1" applyAlignment="1">
      <alignment horizontal="center" vertical="center" wrapText="1"/>
    </xf>
    <xf numFmtId="0" fontId="18" fillId="0" borderId="12" xfId="7" applyFont="1" applyBorder="1" applyAlignment="1">
      <alignment horizontal="center" vertical="center" wrapText="1"/>
    </xf>
    <xf numFmtId="0" fontId="18" fillId="0" borderId="8" xfId="7" applyFont="1" applyBorder="1" applyAlignment="1">
      <alignment horizontal="center" vertical="center" wrapText="1"/>
    </xf>
    <xf numFmtId="176" fontId="36" fillId="9" borderId="90" xfId="7" applyNumberFormat="1" applyFont="1" applyFill="1" applyBorder="1" applyAlignment="1">
      <alignment horizontal="center" vertical="center" wrapText="1"/>
    </xf>
    <xf numFmtId="0" fontId="36" fillId="9" borderId="14" xfId="7" applyFont="1" applyFill="1" applyBorder="1" applyAlignment="1">
      <alignment horizontal="center" vertical="center" wrapText="1"/>
    </xf>
    <xf numFmtId="0" fontId="36" fillId="9" borderId="91" xfId="7" applyFont="1" applyFill="1" applyBorder="1" applyAlignment="1">
      <alignment horizontal="center" vertical="center" wrapText="1"/>
    </xf>
    <xf numFmtId="0" fontId="36" fillId="16" borderId="91" xfId="7" applyFont="1" applyFill="1" applyBorder="1" applyAlignment="1">
      <alignment horizontal="center" vertical="center" shrinkToFit="1"/>
    </xf>
    <xf numFmtId="0" fontId="71" fillId="0" borderId="12" xfId="7" applyFont="1" applyBorder="1" applyAlignment="1">
      <alignment horizontal="center" vertical="center" wrapText="1"/>
    </xf>
    <xf numFmtId="0" fontId="71" fillId="0" borderId="101" xfId="7" applyFont="1" applyBorder="1" applyAlignment="1">
      <alignment horizontal="center" vertical="center" wrapText="1"/>
    </xf>
    <xf numFmtId="176" fontId="71" fillId="9" borderId="11" xfId="7" applyNumberFormat="1" applyFont="1" applyFill="1" applyBorder="1" applyAlignment="1">
      <alignment horizontal="center" vertical="center" wrapText="1"/>
    </xf>
    <xf numFmtId="0" fontId="71" fillId="9" borderId="14" xfId="7" applyFont="1" applyFill="1" applyBorder="1" applyAlignment="1">
      <alignment horizontal="center" vertical="center" wrapText="1"/>
    </xf>
    <xf numFmtId="0" fontId="71" fillId="9" borderId="31" xfId="7" applyFont="1" applyFill="1" applyBorder="1" applyAlignment="1">
      <alignment horizontal="center" vertical="center" wrapText="1"/>
    </xf>
    <xf numFmtId="0" fontId="71" fillId="9" borderId="91" xfId="7" applyFont="1" applyFill="1" applyBorder="1" applyAlignment="1">
      <alignment horizontal="center" vertical="center" wrapText="1"/>
    </xf>
    <xf numFmtId="0" fontId="71" fillId="16" borderId="91" xfId="7" applyFont="1" applyFill="1" applyBorder="1" applyAlignment="1">
      <alignment horizontal="center" vertical="center" shrinkToFit="1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0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1" xfId="7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8" borderId="32" xfId="0" applyFont="1" applyFill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18" fillId="16" borderId="91" xfId="7" applyFont="1" applyFill="1" applyBorder="1" applyAlignment="1">
      <alignment horizontal="center" vertical="center" shrinkToFit="1"/>
    </xf>
    <xf numFmtId="0" fontId="36" fillId="16" borderId="91" xfId="7" applyNumberFormat="1" applyFont="1" applyFill="1" applyBorder="1" applyAlignment="1" applyProtection="1">
      <alignment horizontal="center" vertical="center" shrinkToFit="1"/>
    </xf>
    <xf numFmtId="0" fontId="36" fillId="9" borderId="92" xfId="7" applyFont="1" applyFill="1" applyBorder="1" applyAlignment="1" applyProtection="1">
      <alignment horizontal="center" vertical="center" wrapText="1"/>
    </xf>
    <xf numFmtId="0" fontId="36" fillId="9" borderId="25" xfId="7" applyFont="1" applyFill="1" applyBorder="1" applyAlignment="1" applyProtection="1">
      <alignment horizontal="center" vertical="center" wrapText="1"/>
    </xf>
    <xf numFmtId="0" fontId="36" fillId="9" borderId="26" xfId="7" applyFont="1" applyFill="1" applyBorder="1" applyAlignment="1" applyProtection="1">
      <alignment horizontal="center" vertical="center" wrapText="1"/>
    </xf>
    <xf numFmtId="176" fontId="36" fillId="9" borderId="106" xfId="7" applyNumberFormat="1" applyFont="1" applyFill="1" applyBorder="1" applyAlignment="1" applyProtection="1">
      <alignment horizontal="center" vertical="center" wrapText="1"/>
    </xf>
    <xf numFmtId="176" fontId="36" fillId="9" borderId="9" xfId="7" applyNumberFormat="1" applyFont="1" applyFill="1" applyBorder="1" applyAlignment="1" applyProtection="1">
      <alignment horizontal="center" vertical="center" wrapText="1"/>
    </xf>
    <xf numFmtId="176" fontId="36" fillId="9" borderId="107" xfId="7" applyNumberFormat="1" applyFont="1" applyFill="1" applyBorder="1" applyAlignment="1" applyProtection="1">
      <alignment horizontal="center" vertical="center" wrapText="1"/>
    </xf>
    <xf numFmtId="176" fontId="72" fillId="9" borderId="14" xfId="7" applyNumberFormat="1" applyFont="1" applyFill="1" applyBorder="1" applyAlignment="1">
      <alignment horizontal="center" vertical="center" wrapText="1"/>
    </xf>
    <xf numFmtId="0" fontId="72" fillId="9" borderId="14" xfId="7" applyFont="1" applyFill="1" applyBorder="1" applyAlignment="1">
      <alignment horizontal="center" vertical="center" wrapText="1"/>
    </xf>
    <xf numFmtId="176" fontId="71" fillId="9" borderId="106" xfId="7" applyNumberFormat="1" applyFont="1" applyFill="1" applyBorder="1" applyAlignment="1">
      <alignment horizontal="center" vertical="center" wrapText="1"/>
    </xf>
    <xf numFmtId="176" fontId="71" fillId="9" borderId="9" xfId="7" applyNumberFormat="1" applyFont="1" applyFill="1" applyBorder="1" applyAlignment="1">
      <alignment horizontal="center" vertical="center" wrapText="1"/>
    </xf>
    <xf numFmtId="176" fontId="71" fillId="9" borderId="107" xfId="7" applyNumberFormat="1" applyFont="1" applyFill="1" applyBorder="1" applyAlignment="1">
      <alignment horizontal="center" vertical="center" wrapText="1"/>
    </xf>
    <xf numFmtId="0" fontId="18" fillId="0" borderId="92" xfId="7" applyFont="1" applyBorder="1" applyAlignment="1">
      <alignment horizontal="center" vertical="center" wrapText="1"/>
    </xf>
    <xf numFmtId="0" fontId="18" fillId="0" borderId="25" xfId="7" applyFont="1" applyBorder="1" applyAlignment="1">
      <alignment horizontal="center" vertical="center" wrapText="1"/>
    </xf>
    <xf numFmtId="0" fontId="18" fillId="0" borderId="26" xfId="7" applyFont="1" applyBorder="1" applyAlignment="1">
      <alignment horizontal="center" vertical="center" wrapText="1"/>
    </xf>
    <xf numFmtId="176" fontId="36" fillId="0" borderId="106" xfId="7" applyNumberFormat="1" applyFont="1" applyBorder="1" applyAlignment="1">
      <alignment horizontal="center" vertical="center" wrapText="1"/>
    </xf>
    <xf numFmtId="176" fontId="36" fillId="0" borderId="9" xfId="7" applyNumberFormat="1" applyFont="1" applyBorder="1" applyAlignment="1">
      <alignment horizontal="center" vertical="center" wrapText="1"/>
    </xf>
    <xf numFmtId="176" fontId="36" fillId="0" borderId="107" xfId="7" applyNumberFormat="1" applyFont="1" applyBorder="1" applyAlignment="1">
      <alignment horizontal="center" vertical="center" wrapText="1"/>
    </xf>
    <xf numFmtId="0" fontId="18" fillId="16" borderId="7" xfId="7" applyFont="1" applyFill="1" applyBorder="1" applyAlignment="1">
      <alignment horizontal="center" vertical="center" shrinkToFit="1"/>
    </xf>
    <xf numFmtId="0" fontId="18" fillId="16" borderId="17" xfId="7" applyFont="1" applyFill="1" applyBorder="1" applyAlignment="1">
      <alignment horizontal="center" vertical="center" shrinkToFit="1"/>
    </xf>
    <xf numFmtId="0" fontId="18" fillId="9" borderId="5" xfId="7" applyFont="1" applyFill="1" applyBorder="1" applyAlignment="1">
      <alignment horizontal="center" vertical="center" wrapText="1"/>
    </xf>
    <xf numFmtId="0" fontId="18" fillId="9" borderId="12" xfId="7" applyFont="1" applyFill="1" applyBorder="1" applyAlignment="1">
      <alignment horizontal="center" vertical="center" wrapText="1"/>
    </xf>
    <xf numFmtId="0" fontId="18" fillId="9" borderId="101" xfId="7" applyFont="1" applyFill="1" applyBorder="1" applyAlignment="1">
      <alignment horizontal="center" vertical="center" wrapText="1"/>
    </xf>
    <xf numFmtId="176" fontId="18" fillId="9" borderId="90" xfId="7" applyNumberFormat="1" applyFont="1" applyFill="1" applyBorder="1" applyAlignment="1">
      <alignment horizontal="center" vertical="center" wrapText="1"/>
    </xf>
    <xf numFmtId="0" fontId="18" fillId="9" borderId="14" xfId="7" applyFont="1" applyFill="1" applyBorder="1" applyAlignment="1">
      <alignment horizontal="center" vertical="center" wrapText="1"/>
    </xf>
    <xf numFmtId="0" fontId="18" fillId="9" borderId="31" xfId="7" applyFont="1" applyFill="1" applyBorder="1" applyAlignment="1">
      <alignment horizontal="center" vertical="center" wrapText="1"/>
    </xf>
    <xf numFmtId="0" fontId="18" fillId="16" borderId="31" xfId="7" applyFont="1" applyFill="1" applyBorder="1" applyAlignment="1">
      <alignment horizontal="center" vertical="center" shrinkToFit="1"/>
    </xf>
    <xf numFmtId="0" fontId="18" fillId="9" borderId="92" xfId="7" applyFont="1" applyFill="1" applyBorder="1" applyAlignment="1">
      <alignment horizontal="center" vertical="center" wrapText="1"/>
    </xf>
    <xf numFmtId="0" fontId="18" fillId="9" borderId="25" xfId="7" applyFont="1" applyFill="1" applyBorder="1" applyAlignment="1">
      <alignment horizontal="center" vertical="center" wrapText="1"/>
    </xf>
    <xf numFmtId="0" fontId="18" fillId="9" borderId="26" xfId="7" applyFont="1" applyFill="1" applyBorder="1" applyAlignment="1">
      <alignment horizontal="center" vertical="center" wrapText="1"/>
    </xf>
    <xf numFmtId="176" fontId="18" fillId="9" borderId="106" xfId="7" applyNumberFormat="1" applyFont="1" applyFill="1" applyBorder="1" applyAlignment="1">
      <alignment horizontal="center" vertical="center" wrapText="1"/>
    </xf>
    <xf numFmtId="176" fontId="18" fillId="9" borderId="9" xfId="7" applyNumberFormat="1" applyFont="1" applyFill="1" applyBorder="1" applyAlignment="1">
      <alignment horizontal="center" vertical="center" wrapText="1"/>
    </xf>
    <xf numFmtId="176" fontId="18" fillId="9" borderId="107" xfId="7" applyNumberFormat="1" applyFont="1" applyFill="1" applyBorder="1" applyAlignment="1">
      <alignment horizontal="center" vertical="center" wrapText="1"/>
    </xf>
    <xf numFmtId="0" fontId="71" fillId="16" borderId="7" xfId="7" applyFont="1" applyFill="1" applyBorder="1" applyAlignment="1">
      <alignment horizontal="center" vertical="center" shrinkToFit="1"/>
    </xf>
    <xf numFmtId="0" fontId="71" fillId="16" borderId="17" xfId="7" applyFont="1" applyFill="1" applyBorder="1" applyAlignment="1">
      <alignment horizontal="center" vertical="center" shrinkToFit="1"/>
    </xf>
    <xf numFmtId="0" fontId="18" fillId="9" borderId="8" xfId="7" applyFont="1" applyFill="1" applyBorder="1" applyAlignment="1">
      <alignment horizontal="center" vertical="center" wrapText="1"/>
    </xf>
    <xf numFmtId="0" fontId="18" fillId="9" borderId="91" xfId="7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2" xfId="7" applyFont="1" applyFill="1" applyBorder="1" applyAlignment="1">
      <alignment horizontal="center" vertical="center" wrapText="1"/>
    </xf>
    <xf numFmtId="0" fontId="17" fillId="11" borderId="8" xfId="7" applyFont="1" applyFill="1" applyBorder="1" applyAlignment="1">
      <alignment horizontal="center" vertical="center" wrapText="1"/>
    </xf>
    <xf numFmtId="0" fontId="17" fillId="11" borderId="90" xfId="7" applyFont="1" applyFill="1" applyBorder="1" applyAlignment="1">
      <alignment horizontal="center" vertical="center" wrapText="1"/>
    </xf>
    <xf numFmtId="0" fontId="17" fillId="11" borderId="14" xfId="7" applyFont="1" applyFill="1" applyBorder="1" applyAlignment="1">
      <alignment horizontal="center" vertical="center" wrapText="1"/>
    </xf>
    <xf numFmtId="0" fontId="17" fillId="11" borderId="91" xfId="7" applyFont="1" applyFill="1" applyBorder="1" applyAlignment="1">
      <alignment horizontal="center" vertical="center" wrapText="1"/>
    </xf>
    <xf numFmtId="0" fontId="17" fillId="11" borderId="90" xfId="7" applyFont="1" applyFill="1" applyBorder="1" applyAlignment="1">
      <alignment horizontal="center" vertical="center" shrinkToFit="1"/>
    </xf>
    <xf numFmtId="0" fontId="17" fillId="11" borderId="14" xfId="7" applyFont="1" applyFill="1" applyBorder="1" applyAlignment="1">
      <alignment horizontal="center" vertical="center" shrinkToFit="1"/>
    </xf>
    <xf numFmtId="0" fontId="17" fillId="11" borderId="91" xfId="7" applyFont="1" applyFill="1" applyBorder="1" applyAlignment="1">
      <alignment horizontal="center" vertical="center" shrinkToFit="1"/>
    </xf>
    <xf numFmtId="0" fontId="26" fillId="8" borderId="5" xfId="0" applyFont="1" applyFill="1" applyBorder="1" applyAlignment="1">
      <alignment horizontal="center" vertical="center"/>
    </xf>
    <xf numFmtId="0" fontId="26" fillId="8" borderId="90" xfId="0" applyFont="1" applyFill="1" applyBorder="1" applyAlignment="1">
      <alignment horizontal="center" vertical="center"/>
    </xf>
    <xf numFmtId="0" fontId="26" fillId="8" borderId="2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30" fillId="0" borderId="91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2" fillId="0" borderId="5" xfId="7" applyFont="1" applyBorder="1" applyAlignment="1">
      <alignment horizontal="center" vertical="center" wrapText="1"/>
    </xf>
    <xf numFmtId="0" fontId="72" fillId="0" borderId="99" xfId="7" applyFont="1" applyBorder="1" applyAlignment="1">
      <alignment horizontal="center" vertical="center" wrapText="1"/>
    </xf>
    <xf numFmtId="0" fontId="72" fillId="0" borderId="8" xfId="7" applyFont="1" applyBorder="1" applyAlignment="1">
      <alignment horizontal="center" vertical="center" wrapText="1"/>
    </xf>
    <xf numFmtId="0" fontId="72" fillId="0" borderId="12" xfId="7" applyFont="1" applyBorder="1" applyAlignment="1">
      <alignment horizontal="center" vertical="center" wrapText="1"/>
    </xf>
    <xf numFmtId="0" fontId="72" fillId="0" borderId="101" xfId="7" applyFont="1" applyBorder="1" applyAlignment="1">
      <alignment horizontal="center" vertical="center" wrapText="1"/>
    </xf>
    <xf numFmtId="0" fontId="72" fillId="9" borderId="31" xfId="7" applyFont="1" applyFill="1" applyBorder="1" applyAlignment="1">
      <alignment horizontal="center" vertical="center" wrapText="1"/>
    </xf>
    <xf numFmtId="0" fontId="36" fillId="11" borderId="106" xfId="7" applyFont="1" applyFill="1" applyBorder="1" applyAlignment="1">
      <alignment horizontal="center" vertical="center" shrinkToFit="1"/>
    </xf>
    <xf numFmtId="0" fontId="36" fillId="11" borderId="9" xfId="7" applyFont="1" applyFill="1" applyBorder="1" applyAlignment="1">
      <alignment horizontal="center" vertical="center" shrinkToFit="1"/>
    </xf>
    <xf numFmtId="0" fontId="36" fillId="11" borderId="107" xfId="7" applyFont="1" applyFill="1" applyBorder="1" applyAlignment="1">
      <alignment horizontal="center" vertical="center" shrinkToFit="1"/>
    </xf>
    <xf numFmtId="0" fontId="36" fillId="9" borderId="25" xfId="7" applyFont="1" applyFill="1" applyBorder="1" applyAlignment="1">
      <alignment horizontal="center" vertical="center" wrapText="1"/>
    </xf>
    <xf numFmtId="0" fontId="36" fillId="9" borderId="26" xfId="7" applyFont="1" applyFill="1" applyBorder="1" applyAlignment="1">
      <alignment horizontal="center" vertical="center" wrapText="1"/>
    </xf>
    <xf numFmtId="176" fontId="36" fillId="9" borderId="9" xfId="7" applyNumberFormat="1" applyFont="1" applyFill="1" applyBorder="1" applyAlignment="1">
      <alignment horizontal="center" vertical="center" wrapText="1"/>
    </xf>
    <xf numFmtId="176" fontId="36" fillId="9" borderId="107" xfId="7" applyNumberFormat="1" applyFont="1" applyFill="1" applyBorder="1" applyAlignment="1">
      <alignment horizontal="center" vertical="center" wrapText="1"/>
    </xf>
    <xf numFmtId="0" fontId="72" fillId="0" borderId="92" xfId="7" applyFont="1" applyBorder="1" applyAlignment="1">
      <alignment horizontal="center" vertical="center" wrapText="1"/>
    </xf>
    <xf numFmtId="0" fontId="72" fillId="0" borderId="25" xfId="7" applyFont="1" applyBorder="1" applyAlignment="1">
      <alignment horizontal="center" vertical="center" wrapText="1"/>
    </xf>
    <xf numFmtId="0" fontId="72" fillId="0" borderId="26" xfId="7" applyFont="1" applyBorder="1" applyAlignment="1">
      <alignment horizontal="center" vertical="center" wrapText="1"/>
    </xf>
    <xf numFmtId="0" fontId="72" fillId="16" borderId="31" xfId="7" applyFont="1" applyFill="1" applyBorder="1" applyAlignment="1">
      <alignment horizontal="center" vertical="center" shrinkToFit="1"/>
    </xf>
    <xf numFmtId="176" fontId="72" fillId="9" borderId="91" xfId="7" applyNumberFormat="1" applyFont="1" applyFill="1" applyBorder="1" applyAlignment="1">
      <alignment horizontal="center" vertical="center" wrapText="1"/>
    </xf>
    <xf numFmtId="0" fontId="36" fillId="9" borderId="5" xfId="7" applyFont="1" applyFill="1" applyBorder="1" applyAlignment="1">
      <alignment horizontal="center" vertical="center" wrapText="1"/>
    </xf>
    <xf numFmtId="0" fontId="36" fillId="9" borderId="12" xfId="7" applyFont="1" applyFill="1" applyBorder="1" applyAlignment="1">
      <alignment horizontal="center" vertical="center" wrapText="1"/>
    </xf>
    <xf numFmtId="0" fontId="36" fillId="9" borderId="101" xfId="7" applyFont="1" applyFill="1" applyBorder="1" applyAlignment="1">
      <alignment horizontal="center" vertical="center" wrapText="1"/>
    </xf>
    <xf numFmtId="0" fontId="36" fillId="9" borderId="31" xfId="7" applyFont="1" applyFill="1" applyBorder="1" applyAlignment="1">
      <alignment horizontal="center" vertical="center" wrapText="1"/>
    </xf>
    <xf numFmtId="0" fontId="36" fillId="16" borderId="31" xfId="7" applyFont="1" applyFill="1" applyBorder="1" applyAlignment="1">
      <alignment horizontal="center" vertical="center" shrinkToFit="1"/>
    </xf>
    <xf numFmtId="176" fontId="18" fillId="9" borderId="14" xfId="7" applyNumberFormat="1" applyFont="1" applyFill="1" applyBorder="1" applyAlignment="1">
      <alignment horizontal="center" vertical="center" wrapText="1"/>
    </xf>
    <xf numFmtId="0" fontId="18" fillId="0" borderId="90" xfId="7" applyFont="1" applyBorder="1" applyAlignment="1">
      <alignment horizontal="center" vertical="center" wrapText="1"/>
    </xf>
    <xf numFmtId="0" fontId="18" fillId="0" borderId="14" xfId="7" applyFont="1" applyBorder="1" applyAlignment="1">
      <alignment horizontal="center" vertical="center" wrapText="1"/>
    </xf>
    <xf numFmtId="0" fontId="18" fillId="0" borderId="91" xfId="7" applyFont="1" applyBorder="1" applyAlignment="1">
      <alignment horizontal="center" vertical="center" wrapText="1"/>
    </xf>
    <xf numFmtId="0" fontId="36" fillId="0" borderId="9" xfId="7" applyFont="1" applyBorder="1" applyAlignment="1">
      <alignment horizontal="center" vertical="center" wrapText="1"/>
    </xf>
    <xf numFmtId="0" fontId="36" fillId="9" borderId="92" xfId="7" applyFont="1" applyFill="1" applyBorder="1" applyAlignment="1">
      <alignment horizontal="center" vertical="center" wrapText="1"/>
    </xf>
    <xf numFmtId="0" fontId="36" fillId="0" borderId="106" xfId="7" applyFont="1" applyBorder="1" applyAlignment="1">
      <alignment horizontal="center" vertical="center" wrapText="1"/>
    </xf>
    <xf numFmtId="0" fontId="36" fillId="0" borderId="107" xfId="7" applyFont="1" applyBorder="1" applyAlignment="1">
      <alignment horizontal="center" vertical="center" wrapText="1"/>
    </xf>
    <xf numFmtId="0" fontId="18" fillId="0" borderId="31" xfId="7" applyFont="1" applyBorder="1" applyAlignment="1">
      <alignment horizontal="center" vertical="center" wrapText="1"/>
    </xf>
    <xf numFmtId="0" fontId="18" fillId="9" borderId="90" xfId="7" applyFont="1" applyFill="1" applyBorder="1" applyAlignment="1">
      <alignment horizontal="center" vertical="center" wrapText="1"/>
    </xf>
    <xf numFmtId="0" fontId="36" fillId="9" borderId="99" xfId="7" applyFont="1" applyFill="1" applyBorder="1" applyAlignment="1">
      <alignment horizontal="center" vertical="center" wrapText="1"/>
    </xf>
    <xf numFmtId="0" fontId="36" fillId="9" borderId="8" xfId="7" applyFont="1" applyFill="1" applyBorder="1" applyAlignment="1">
      <alignment horizontal="center" vertical="center" wrapText="1"/>
    </xf>
    <xf numFmtId="176" fontId="18" fillId="9" borderId="11" xfId="7" applyNumberFormat="1" applyFont="1" applyFill="1" applyBorder="1" applyAlignment="1">
      <alignment horizontal="center" vertical="center" wrapText="1"/>
    </xf>
    <xf numFmtId="0" fontId="17" fillId="11" borderId="106" xfId="7" applyFont="1" applyFill="1" applyBorder="1" applyAlignment="1">
      <alignment horizontal="center" vertical="center" shrinkToFit="1"/>
    </xf>
    <xf numFmtId="0" fontId="17" fillId="11" borderId="9" xfId="7" applyFont="1" applyFill="1" applyBorder="1" applyAlignment="1">
      <alignment horizontal="center" vertical="center" shrinkToFit="1"/>
    </xf>
    <xf numFmtId="0" fontId="17" fillId="11" borderId="107" xfId="7" applyFont="1" applyFill="1" applyBorder="1" applyAlignment="1">
      <alignment horizontal="center" vertical="center" shrinkToFit="1"/>
    </xf>
    <xf numFmtId="0" fontId="36" fillId="0" borderId="25" xfId="7" applyFont="1" applyBorder="1" applyAlignment="1">
      <alignment horizontal="center" vertical="center" wrapText="1"/>
    </xf>
    <xf numFmtId="0" fontId="36" fillId="0" borderId="26" xfId="7" applyFont="1" applyBorder="1" applyAlignment="1">
      <alignment horizontal="center" vertical="center" wrapText="1"/>
    </xf>
    <xf numFmtId="176" fontId="36" fillId="9" borderId="11" xfId="7" applyNumberFormat="1" applyFont="1" applyFill="1" applyBorder="1" applyAlignment="1">
      <alignment horizontal="center" vertical="center" wrapText="1"/>
    </xf>
    <xf numFmtId="0" fontId="12" fillId="16" borderId="91" xfId="7" applyFont="1" applyFill="1" applyBorder="1" applyAlignment="1">
      <alignment horizontal="center" vertical="center" shrinkToFit="1"/>
    </xf>
    <xf numFmtId="0" fontId="72" fillId="16" borderId="7" xfId="7" applyFont="1" applyFill="1" applyBorder="1" applyAlignment="1">
      <alignment horizontal="center" vertical="center" shrinkToFit="1"/>
    </xf>
    <xf numFmtId="0" fontId="72" fillId="16" borderId="17" xfId="7" applyFont="1" applyFill="1" applyBorder="1" applyAlignment="1">
      <alignment horizontal="center" vertical="center" shrinkToFit="1"/>
    </xf>
    <xf numFmtId="176" fontId="36" fillId="9" borderId="19" xfId="7" applyNumberFormat="1" applyFont="1" applyFill="1" applyBorder="1" applyAlignment="1">
      <alignment horizontal="center" vertical="center" wrapText="1"/>
    </xf>
    <xf numFmtId="176" fontId="36" fillId="9" borderId="80" xfId="7" applyNumberFormat="1" applyFont="1" applyFill="1" applyBorder="1" applyAlignment="1">
      <alignment horizontal="center" vertical="center" wrapText="1"/>
    </xf>
    <xf numFmtId="0" fontId="12" fillId="16" borderId="185" xfId="7" applyFont="1" applyFill="1" applyBorder="1" applyAlignment="1">
      <alignment horizontal="center" vertical="center" shrinkToFit="1"/>
    </xf>
    <xf numFmtId="0" fontId="12" fillId="16" borderId="186" xfId="7" applyFont="1" applyFill="1" applyBorder="1" applyAlignment="1">
      <alignment horizontal="center" vertical="center" shrinkToFit="1"/>
    </xf>
    <xf numFmtId="176" fontId="36" fillId="9" borderId="119" xfId="7" applyNumberFormat="1" applyFont="1" applyFill="1" applyBorder="1" applyAlignment="1">
      <alignment horizontal="center" vertical="center" wrapText="1"/>
    </xf>
    <xf numFmtId="0" fontId="78" fillId="16" borderId="91" xfId="7" applyFont="1" applyFill="1" applyBorder="1" applyAlignment="1">
      <alignment horizontal="center" vertical="center" shrinkToFit="1"/>
    </xf>
    <xf numFmtId="0" fontId="36" fillId="9" borderId="19" xfId="7" applyFont="1" applyFill="1" applyBorder="1" applyAlignment="1">
      <alignment horizontal="center" vertical="center" wrapText="1"/>
    </xf>
    <xf numFmtId="0" fontId="36" fillId="9" borderId="80" xfId="7" applyFont="1" applyFill="1" applyBorder="1" applyAlignment="1">
      <alignment horizontal="center" vertical="center" wrapText="1"/>
    </xf>
    <xf numFmtId="0" fontId="82" fillId="11" borderId="90" xfId="7" applyFont="1" applyFill="1" applyBorder="1" applyAlignment="1">
      <alignment horizontal="center" vertical="center" shrinkToFit="1"/>
    </xf>
    <xf numFmtId="0" fontId="82" fillId="11" borderId="14" xfId="7" applyFont="1" applyFill="1" applyBorder="1" applyAlignment="1">
      <alignment horizontal="center" vertical="center" shrinkToFit="1"/>
    </xf>
    <xf numFmtId="0" fontId="82" fillId="11" borderId="91" xfId="7" applyFont="1" applyFill="1" applyBorder="1" applyAlignment="1">
      <alignment horizontal="center" vertical="center" shrinkToFit="1"/>
    </xf>
    <xf numFmtId="0" fontId="17" fillId="0" borderId="92" xfId="7" applyFont="1" applyBorder="1" applyAlignment="1">
      <alignment horizontal="center" vertical="center" wrapText="1"/>
    </xf>
    <xf numFmtId="0" fontId="17" fillId="0" borderId="25" xfId="7" applyFont="1" applyBorder="1" applyAlignment="1">
      <alignment horizontal="center" vertical="center" wrapText="1"/>
    </xf>
    <xf numFmtId="0" fontId="17" fillId="0" borderId="26" xfId="7" applyFont="1" applyBorder="1" applyAlignment="1">
      <alignment horizontal="center" vertical="center" wrapText="1"/>
    </xf>
    <xf numFmtId="176" fontId="17" fillId="0" borderId="106" xfId="7" applyNumberFormat="1" applyFont="1" applyBorder="1" applyAlignment="1">
      <alignment horizontal="center" vertical="center" wrapText="1"/>
    </xf>
    <xf numFmtId="0" fontId="17" fillId="0" borderId="9" xfId="7" applyFont="1" applyBorder="1" applyAlignment="1">
      <alignment horizontal="center" vertical="center" wrapText="1"/>
    </xf>
    <xf numFmtId="0" fontId="17" fillId="0" borderId="107" xfId="7" applyFont="1" applyBorder="1" applyAlignment="1">
      <alignment horizontal="center" vertical="center" wrapText="1"/>
    </xf>
    <xf numFmtId="0" fontId="72" fillId="9" borderId="92" xfId="7" applyFont="1" applyFill="1" applyBorder="1" applyAlignment="1">
      <alignment horizontal="center" vertical="center" wrapText="1"/>
    </xf>
    <xf numFmtId="0" fontId="72" fillId="9" borderId="25" xfId="7" applyFont="1" applyFill="1" applyBorder="1" applyAlignment="1">
      <alignment horizontal="center" vertical="center" wrapText="1"/>
    </xf>
    <xf numFmtId="0" fontId="72" fillId="9" borderId="26" xfId="7" applyFont="1" applyFill="1" applyBorder="1" applyAlignment="1">
      <alignment horizontal="center" vertical="center" wrapText="1"/>
    </xf>
    <xf numFmtId="0" fontId="72" fillId="9" borderId="9" xfId="7" applyFont="1" applyFill="1" applyBorder="1" applyAlignment="1">
      <alignment horizontal="center" vertical="center" wrapText="1"/>
    </xf>
    <xf numFmtId="0" fontId="72" fillId="9" borderId="107" xfId="7" applyFont="1" applyFill="1" applyBorder="1" applyAlignment="1">
      <alignment horizontal="center" vertical="center" wrapText="1"/>
    </xf>
    <xf numFmtId="0" fontId="71" fillId="16" borderId="194" xfId="7" applyFont="1" applyFill="1" applyBorder="1" applyAlignment="1">
      <alignment horizontal="center" vertical="center" shrinkToFit="1"/>
    </xf>
    <xf numFmtId="0" fontId="71" fillId="16" borderId="105" xfId="7" applyFont="1" applyFill="1" applyBorder="1" applyAlignment="1">
      <alignment horizontal="center" vertical="center" shrinkToFit="1"/>
    </xf>
    <xf numFmtId="0" fontId="82" fillId="9" borderId="92" xfId="7" applyFont="1" applyFill="1" applyBorder="1" applyAlignment="1">
      <alignment horizontal="center" vertical="center" wrapText="1"/>
    </xf>
    <xf numFmtId="0" fontId="82" fillId="9" borderId="25" xfId="7" applyFont="1" applyFill="1" applyBorder="1" applyAlignment="1">
      <alignment horizontal="center" vertical="center" wrapText="1"/>
    </xf>
    <xf numFmtId="0" fontId="82" fillId="9" borderId="26" xfId="7" applyFont="1" applyFill="1" applyBorder="1" applyAlignment="1">
      <alignment horizontal="center" vertical="center" wrapText="1"/>
    </xf>
    <xf numFmtId="0" fontId="72" fillId="16" borderId="194" xfId="7" applyFont="1" applyFill="1" applyBorder="1" applyAlignment="1">
      <alignment horizontal="center" vertical="center" shrinkToFit="1"/>
    </xf>
    <xf numFmtId="0" fontId="72" fillId="16" borderId="198" xfId="7" applyFont="1" applyFill="1" applyBorder="1" applyAlignment="1">
      <alignment horizontal="center" vertical="center" shrinkToFit="1"/>
    </xf>
    <xf numFmtId="0" fontId="17" fillId="9" borderId="5" xfId="7" applyFont="1" applyFill="1" applyBorder="1" applyAlignment="1">
      <alignment horizontal="center" vertical="center" wrapText="1"/>
    </xf>
    <xf numFmtId="0" fontId="17" fillId="9" borderId="12" xfId="7" applyFont="1" applyFill="1" applyBorder="1" applyAlignment="1">
      <alignment horizontal="center" vertical="center" wrapText="1"/>
    </xf>
    <xf numFmtId="0" fontId="17" fillId="9" borderId="8" xfId="7" applyFont="1" applyFill="1" applyBorder="1" applyAlignment="1">
      <alignment horizontal="center" vertical="center" wrapText="1"/>
    </xf>
    <xf numFmtId="176" fontId="17" fillId="9" borderId="90" xfId="7" applyNumberFormat="1" applyFont="1" applyFill="1" applyBorder="1" applyAlignment="1">
      <alignment horizontal="center" vertical="center" wrapText="1"/>
    </xf>
    <xf numFmtId="0" fontId="17" fillId="9" borderId="14" xfId="7" applyFont="1" applyFill="1" applyBorder="1" applyAlignment="1">
      <alignment horizontal="center" vertical="center" wrapText="1"/>
    </xf>
    <xf numFmtId="0" fontId="17" fillId="9" borderId="91" xfId="7" applyFont="1" applyFill="1" applyBorder="1" applyAlignment="1">
      <alignment horizontal="center" vertical="center" wrapText="1"/>
    </xf>
    <xf numFmtId="0" fontId="36" fillId="16" borderId="7" xfId="7" applyFont="1" applyFill="1" applyBorder="1" applyAlignment="1">
      <alignment horizontal="center" vertical="center" shrinkToFit="1"/>
    </xf>
    <xf numFmtId="0" fontId="36" fillId="16" borderId="87" xfId="7" applyFont="1" applyFill="1" applyBorder="1" applyAlignment="1">
      <alignment horizontal="center" vertical="center" shrinkToFit="1"/>
    </xf>
    <xf numFmtId="0" fontId="82" fillId="9" borderId="5" xfId="7" applyFont="1" applyFill="1" applyBorder="1" applyAlignment="1">
      <alignment horizontal="center" vertical="center" wrapText="1"/>
    </xf>
    <xf numFmtId="0" fontId="82" fillId="9" borderId="99" xfId="7" applyFont="1" applyFill="1" applyBorder="1" applyAlignment="1">
      <alignment horizontal="center" vertical="center" wrapText="1"/>
    </xf>
    <xf numFmtId="0" fontId="82" fillId="9" borderId="12" xfId="7" applyFont="1" applyFill="1" applyBorder="1" applyAlignment="1">
      <alignment horizontal="center" vertical="center" wrapText="1"/>
    </xf>
    <xf numFmtId="0" fontId="82" fillId="9" borderId="8" xfId="7" applyFont="1" applyFill="1" applyBorder="1" applyAlignment="1">
      <alignment horizontal="center" vertical="center" wrapText="1"/>
    </xf>
    <xf numFmtId="176" fontId="82" fillId="9" borderId="90" xfId="7" applyNumberFormat="1" applyFont="1" applyFill="1" applyBorder="1" applyAlignment="1">
      <alignment horizontal="center" vertical="center" wrapText="1"/>
    </xf>
    <xf numFmtId="176" fontId="82" fillId="9" borderId="11" xfId="7" applyNumberFormat="1" applyFont="1" applyFill="1" applyBorder="1" applyAlignment="1">
      <alignment horizontal="center" vertical="center" wrapText="1"/>
    </xf>
    <xf numFmtId="0" fontId="82" fillId="9" borderId="14" xfId="7" applyFont="1" applyFill="1" applyBorder="1" applyAlignment="1">
      <alignment horizontal="center" vertical="center" wrapText="1"/>
    </xf>
    <xf numFmtId="0" fontId="82" fillId="9" borderId="91" xfId="7" applyFont="1" applyFill="1" applyBorder="1" applyAlignment="1">
      <alignment horizontal="center" vertical="center" wrapText="1"/>
    </xf>
    <xf numFmtId="0" fontId="47" fillId="21" borderId="124" xfId="16" applyFont="1" applyFill="1" applyBorder="1" applyAlignment="1">
      <alignment horizontal="center" vertical="center"/>
    </xf>
    <xf numFmtId="0" fontId="40" fillId="0" borderId="124" xfId="16" applyFont="1" applyBorder="1"/>
    <xf numFmtId="0" fontId="40" fillId="0" borderId="125" xfId="16" applyFont="1" applyBorder="1"/>
    <xf numFmtId="0" fontId="47" fillId="0" borderId="126" xfId="16" applyFont="1" applyBorder="1" applyAlignment="1">
      <alignment horizontal="center" vertical="center"/>
    </xf>
    <xf numFmtId="0" fontId="43" fillId="0" borderId="0" xfId="16" applyFont="1" applyAlignment="1">
      <alignment horizontal="center" vertical="center"/>
    </xf>
    <xf numFmtId="0" fontId="45" fillId="0" borderId="0" xfId="16" applyFont="1" applyAlignment="1"/>
    <xf numFmtId="0" fontId="46" fillId="0" borderId="121" xfId="16" applyFont="1" applyBorder="1" applyAlignment="1">
      <alignment horizontal="center" vertical="center"/>
    </xf>
    <xf numFmtId="0" fontId="40" fillId="0" borderId="27" xfId="16" applyFont="1" applyBorder="1"/>
    <xf numFmtId="0" fontId="40" fillId="0" borderId="24" xfId="16" applyFont="1" applyBorder="1"/>
    <xf numFmtId="0" fontId="46" fillId="8" borderId="4" xfId="16" applyFont="1" applyFill="1" applyBorder="1" applyAlignment="1">
      <alignment horizontal="center" vertical="center"/>
    </xf>
    <xf numFmtId="0" fontId="40" fillId="8" borderId="27" xfId="16" applyFont="1" applyFill="1" applyBorder="1"/>
    <xf numFmtId="0" fontId="40" fillId="8" borderId="24" xfId="16" applyFont="1" applyFill="1" applyBorder="1"/>
    <xf numFmtId="0" fontId="35" fillId="20" borderId="120" xfId="16" applyFont="1" applyFill="1" applyBorder="1" applyAlignment="1">
      <alignment horizontal="center" vertical="center" wrapText="1"/>
    </xf>
    <xf numFmtId="0" fontId="40" fillId="0" borderId="122" xfId="16" applyFont="1" applyBorder="1"/>
    <xf numFmtId="0" fontId="40" fillId="0" borderId="127" xfId="16" applyFont="1" applyBorder="1"/>
    <xf numFmtId="0" fontId="47" fillId="21" borderId="129" xfId="16" applyFont="1" applyFill="1" applyBorder="1" applyAlignment="1">
      <alignment horizontal="center" vertical="center"/>
    </xf>
    <xf numFmtId="0" fontId="40" fillId="0" borderId="130" xfId="16" applyFont="1" applyBorder="1"/>
    <xf numFmtId="0" fontId="40" fillId="0" borderId="131" xfId="16" applyFont="1" applyBorder="1"/>
    <xf numFmtId="0" fontId="40" fillId="0" borderId="132" xfId="16" applyFont="1" applyBorder="1"/>
    <xf numFmtId="0" fontId="47" fillId="0" borderId="108" xfId="16" applyFont="1" applyBorder="1" applyAlignment="1">
      <alignment horizontal="center" vertical="center" wrapText="1"/>
    </xf>
    <xf numFmtId="0" fontId="40" fillId="0" borderId="129" xfId="16" applyFont="1" applyBorder="1"/>
    <xf numFmtId="0" fontId="40" fillId="0" borderId="133" xfId="16" applyFont="1" applyBorder="1"/>
    <xf numFmtId="0" fontId="48" fillId="22" borderId="136" xfId="16" applyFont="1" applyFill="1" applyBorder="1" applyAlignment="1">
      <alignment horizontal="center" vertical="center" wrapText="1"/>
    </xf>
    <xf numFmtId="0" fontId="40" fillId="0" borderId="137" xfId="16" applyFont="1" applyBorder="1"/>
    <xf numFmtId="0" fontId="49" fillId="0" borderId="138" xfId="16" applyFont="1" applyBorder="1" applyAlignment="1">
      <alignment horizontal="center" vertical="center" wrapText="1"/>
    </xf>
    <xf numFmtId="0" fontId="40" fillId="0" borderId="144" xfId="16" applyFont="1" applyBorder="1"/>
    <xf numFmtId="0" fontId="49" fillId="0" borderId="139" xfId="16" applyFont="1" applyBorder="1" applyAlignment="1">
      <alignment horizontal="center" vertical="center" wrapText="1"/>
    </xf>
    <xf numFmtId="0" fontId="40" fillId="0" borderId="145" xfId="16" applyFont="1" applyBorder="1"/>
    <xf numFmtId="0" fontId="40" fillId="0" borderId="149" xfId="16" applyFont="1" applyBorder="1"/>
    <xf numFmtId="0" fontId="49" fillId="0" borderId="141" xfId="16" applyFont="1" applyBorder="1" applyAlignment="1">
      <alignment horizontal="center" vertical="center" wrapText="1"/>
    </xf>
    <xf numFmtId="0" fontId="40" fillId="0" borderId="123" xfId="16" applyFont="1" applyBorder="1"/>
    <xf numFmtId="0" fontId="40" fillId="0" borderId="148" xfId="16" applyFont="1" applyBorder="1"/>
    <xf numFmtId="0" fontId="49" fillId="0" borderId="124" xfId="16" applyFont="1" applyBorder="1" applyAlignment="1">
      <alignment horizontal="center" vertical="center" wrapText="1"/>
    </xf>
    <xf numFmtId="0" fontId="51" fillId="0" borderId="126" xfId="16" applyFont="1" applyBorder="1" applyAlignment="1">
      <alignment horizontal="center" vertical="center" wrapText="1"/>
    </xf>
    <xf numFmtId="0" fontId="49" fillId="0" borderId="126" xfId="16" applyFont="1" applyBorder="1" applyAlignment="1">
      <alignment horizontal="center" vertical="center" wrapText="1"/>
    </xf>
    <xf numFmtId="0" fontId="49" fillId="22" borderId="126" xfId="16" applyFont="1" applyFill="1" applyBorder="1" applyAlignment="1">
      <alignment horizontal="center" vertical="center" wrapText="1"/>
    </xf>
    <xf numFmtId="0" fontId="51" fillId="22" borderId="126" xfId="16" applyFont="1" applyFill="1" applyBorder="1" applyAlignment="1">
      <alignment horizontal="center" vertical="center" wrapText="1"/>
    </xf>
    <xf numFmtId="0" fontId="40" fillId="0" borderId="143" xfId="16" applyFont="1" applyBorder="1"/>
    <xf numFmtId="0" fontId="16" fillId="0" borderId="0" xfId="16" applyFont="1" applyBorder="1" applyAlignment="1"/>
    <xf numFmtId="0" fontId="49" fillId="0" borderId="152" xfId="16" applyFont="1" applyBorder="1" applyAlignment="1">
      <alignment horizontal="center" vertical="center" wrapText="1"/>
    </xf>
    <xf numFmtId="0" fontId="49" fillId="0" borderId="154" xfId="16" applyFont="1" applyBorder="1" applyAlignment="1">
      <alignment horizontal="center" vertical="center" wrapText="1"/>
    </xf>
    <xf numFmtId="0" fontId="40" fillId="0" borderId="155" xfId="16" applyFont="1" applyBorder="1"/>
    <xf numFmtId="0" fontId="49" fillId="0" borderId="108" xfId="16" applyFont="1" applyBorder="1" applyAlignment="1">
      <alignment horizontal="center" vertical="center" wrapText="1"/>
    </xf>
    <xf numFmtId="0" fontId="49" fillId="0" borderId="156" xfId="16" applyFont="1" applyBorder="1" applyAlignment="1">
      <alignment horizontal="center" vertical="center" wrapText="1"/>
    </xf>
    <xf numFmtId="0" fontId="40" fillId="0" borderId="157" xfId="16" applyFont="1" applyBorder="1"/>
    <xf numFmtId="0" fontId="49" fillId="22" borderId="124" xfId="16" applyFont="1" applyFill="1" applyBorder="1" applyAlignment="1">
      <alignment horizontal="center" vertical="center" wrapText="1"/>
    </xf>
    <xf numFmtId="0" fontId="53" fillId="21" borderId="124" xfId="16" applyFont="1" applyFill="1" applyBorder="1" applyAlignment="1">
      <alignment horizontal="center" vertical="center"/>
    </xf>
    <xf numFmtId="0" fontId="53" fillId="0" borderId="126" xfId="16" applyFont="1" applyBorder="1" applyAlignment="1">
      <alignment horizontal="center" vertical="center"/>
    </xf>
    <xf numFmtId="0" fontId="47" fillId="0" borderId="126" xfId="16" applyFont="1" applyBorder="1" applyAlignment="1">
      <alignment horizontal="center" vertical="center" wrapText="1"/>
    </xf>
    <xf numFmtId="0" fontId="47" fillId="0" borderId="108" xfId="16" applyFont="1" applyBorder="1" applyAlignment="1">
      <alignment horizontal="center" vertical="center"/>
    </xf>
    <xf numFmtId="0" fontId="47" fillId="21" borderId="124" xfId="16" applyFont="1" applyFill="1" applyBorder="1" applyAlignment="1">
      <alignment horizontal="center" vertical="center" wrapText="1"/>
    </xf>
    <xf numFmtId="0" fontId="53" fillId="21" borderId="124" xfId="16" applyFont="1" applyFill="1" applyBorder="1" applyAlignment="1">
      <alignment horizontal="center" vertical="center" wrapText="1"/>
    </xf>
    <xf numFmtId="0" fontId="55" fillId="0" borderId="152" xfId="16" applyFont="1" applyBorder="1" applyAlignment="1">
      <alignment horizontal="center" vertical="center"/>
    </xf>
    <xf numFmtId="0" fontId="35" fillId="0" borderId="0" xfId="16" applyFont="1" applyBorder="1" applyAlignment="1">
      <alignment vertical="center" wrapText="1"/>
    </xf>
    <xf numFmtId="0" fontId="35" fillId="20" borderId="160" xfId="16" applyFont="1" applyFill="1" applyBorder="1" applyAlignment="1">
      <alignment horizontal="center" vertical="center" wrapText="1"/>
    </xf>
    <xf numFmtId="0" fontId="35" fillId="20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3" fillId="21" borderId="130" xfId="16" applyFont="1" applyFill="1" applyBorder="1" applyAlignment="1">
      <alignment horizontal="center" vertical="center"/>
    </xf>
    <xf numFmtId="0" fontId="53" fillId="21" borderId="126" xfId="16" applyFont="1" applyFill="1" applyBorder="1" applyAlignment="1">
      <alignment horizontal="center" vertical="center"/>
    </xf>
    <xf numFmtId="0" fontId="54" fillId="0" borderId="130" xfId="16" applyFont="1" applyBorder="1" applyAlignment="1">
      <alignment horizontal="center" vertical="center"/>
    </xf>
    <xf numFmtId="0" fontId="56" fillId="0" borderId="132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793CC68E-6436-4EA3-822F-D89FC63E9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1630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7A8DED21-2FCC-4C22-942A-F44EB7553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1152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FDCD659D-2294-4A7E-ACB4-9766EF580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7352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45AA-DBAF-450A-980C-A6C8FA245E26}">
  <sheetPr>
    <pageSetUpPr fitToPage="1"/>
  </sheetPr>
  <dimension ref="B1:AD92"/>
  <sheetViews>
    <sheetView tabSelected="1" zoomScaleNormal="100" zoomScaleSheetLayoutView="100" workbookViewId="0">
      <pane ySplit="8" topLeftCell="A9" activePane="bottomLeft" state="frozen"/>
      <selection pane="bottomLeft" activeCell="C5" sqref="C5:E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7.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634" t="s">
        <v>506</v>
      </c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5"/>
      <c r="V2" s="636" t="s">
        <v>130</v>
      </c>
      <c r="W2" s="637"/>
      <c r="X2" s="638">
        <v>2027</v>
      </c>
      <c r="Y2" s="639"/>
      <c r="AA2" s="640" t="s">
        <v>143</v>
      </c>
      <c r="AB2" s="19" t="s">
        <v>144</v>
      </c>
      <c r="AC2" s="34" t="s">
        <v>152</v>
      </c>
      <c r="AD2" s="20" t="s">
        <v>145</v>
      </c>
    </row>
    <row r="3" spans="2:30" ht="18" thickBot="1">
      <c r="B3" s="643" t="s">
        <v>357</v>
      </c>
      <c r="C3" s="645" t="s">
        <v>53</v>
      </c>
      <c r="D3" s="646"/>
      <c r="E3" s="646"/>
      <c r="F3" s="645" t="s">
        <v>64</v>
      </c>
      <c r="G3" s="649"/>
      <c r="H3" s="645" t="s">
        <v>54</v>
      </c>
      <c r="I3" s="646"/>
      <c r="J3" s="646"/>
      <c r="K3" s="645" t="s">
        <v>55</v>
      </c>
      <c r="L3" s="646"/>
      <c r="M3" s="646"/>
      <c r="N3" s="646"/>
      <c r="O3" s="649"/>
      <c r="P3" s="651" t="s">
        <v>56</v>
      </c>
      <c r="Q3" s="652"/>
      <c r="R3" s="652"/>
      <c r="S3" s="652"/>
      <c r="T3" s="652"/>
      <c r="U3" s="652"/>
      <c r="V3" s="652"/>
      <c r="W3" s="652"/>
      <c r="X3" s="652"/>
      <c r="Y3" s="653"/>
      <c r="AA3" s="641"/>
      <c r="AB3" s="21" t="s">
        <v>146</v>
      </c>
      <c r="AC3" s="36" t="s">
        <v>508</v>
      </c>
      <c r="AD3" s="22" t="s">
        <v>509</v>
      </c>
    </row>
    <row r="4" spans="2:30" ht="18" thickBot="1">
      <c r="B4" s="644"/>
      <c r="C4" s="647"/>
      <c r="D4" s="648"/>
      <c r="E4" s="648"/>
      <c r="F4" s="647"/>
      <c r="G4" s="650"/>
      <c r="H4" s="647"/>
      <c r="I4" s="648"/>
      <c r="J4" s="648"/>
      <c r="K4" s="647"/>
      <c r="L4" s="648"/>
      <c r="M4" s="648"/>
      <c r="N4" s="648"/>
      <c r="O4" s="650"/>
      <c r="P4" s="651" t="s">
        <v>127</v>
      </c>
      <c r="Q4" s="652"/>
      <c r="R4" s="652"/>
      <c r="S4" s="652"/>
      <c r="T4" s="651" t="s">
        <v>61</v>
      </c>
      <c r="U4" s="652"/>
      <c r="V4" s="653"/>
      <c r="W4" s="652" t="s">
        <v>128</v>
      </c>
      <c r="X4" s="652"/>
      <c r="Y4" s="653"/>
      <c r="AA4" s="641"/>
      <c r="AB4" s="23" t="s">
        <v>147</v>
      </c>
      <c r="AC4" s="37" t="s">
        <v>510</v>
      </c>
      <c r="AD4" s="22" t="s">
        <v>511</v>
      </c>
    </row>
    <row r="5" spans="2:30" ht="40.200000000000003" customHeight="1" thickBot="1">
      <c r="B5" s="195" t="s">
        <v>505</v>
      </c>
      <c r="C5" s="654" t="s">
        <v>507</v>
      </c>
      <c r="D5" s="654"/>
      <c r="E5" s="654"/>
      <c r="F5" s="655" t="s">
        <v>150</v>
      </c>
      <c r="G5" s="656"/>
      <c r="H5" s="655" t="s">
        <v>514</v>
      </c>
      <c r="I5" s="654"/>
      <c r="J5" s="654"/>
      <c r="K5" s="655"/>
      <c r="L5" s="654"/>
      <c r="M5" s="654"/>
      <c r="N5" s="654"/>
      <c r="O5" s="656"/>
      <c r="P5" s="655" t="s">
        <v>512</v>
      </c>
      <c r="Q5" s="654"/>
      <c r="R5" s="654"/>
      <c r="S5" s="654"/>
      <c r="T5" s="655" t="s">
        <v>513</v>
      </c>
      <c r="U5" s="654"/>
      <c r="V5" s="654"/>
      <c r="W5" s="657" t="s">
        <v>893</v>
      </c>
      <c r="X5" s="658"/>
      <c r="Y5" s="659"/>
      <c r="AA5" s="642"/>
      <c r="AB5" s="24" t="s">
        <v>148</v>
      </c>
      <c r="AC5" s="38"/>
      <c r="AD5" s="140"/>
    </row>
    <row r="6" spans="2:30" ht="15.75" customHeight="1" thickBot="1">
      <c r="U6" s="660"/>
      <c r="V6" s="660"/>
      <c r="W6" s="660"/>
      <c r="X6" s="660"/>
      <c r="Y6" s="660"/>
    </row>
    <row r="7" spans="2:30" s="10" customFormat="1" ht="22.5" customHeight="1">
      <c r="B7" s="661" t="s">
        <v>2</v>
      </c>
      <c r="C7" s="662"/>
      <c r="D7" s="665" t="s">
        <v>120</v>
      </c>
      <c r="E7" s="667" t="s">
        <v>57</v>
      </c>
      <c r="F7" s="668"/>
      <c r="G7" s="669"/>
      <c r="H7" s="670" t="s">
        <v>133</v>
      </c>
      <c r="I7" s="672" t="s">
        <v>134</v>
      </c>
      <c r="J7" s="674" t="s">
        <v>135</v>
      </c>
      <c r="K7" s="676" t="s">
        <v>58</v>
      </c>
      <c r="L7" s="672"/>
      <c r="M7" s="672"/>
      <c r="N7" s="677"/>
      <c r="O7" s="678" t="s">
        <v>59</v>
      </c>
      <c r="P7" s="672"/>
      <c r="Q7" s="672"/>
      <c r="R7" s="677"/>
      <c r="S7" s="676" t="s">
        <v>60</v>
      </c>
      <c r="T7" s="672"/>
      <c r="U7" s="672"/>
      <c r="V7" s="679"/>
      <c r="W7" s="670" t="s">
        <v>136</v>
      </c>
      <c r="X7" s="674"/>
      <c r="Y7" s="669" t="s">
        <v>137</v>
      </c>
      <c r="Z7" s="9"/>
    </row>
    <row r="8" spans="2:30" s="10" customFormat="1" ht="22.5" customHeight="1" thickBot="1">
      <c r="B8" s="663"/>
      <c r="C8" s="664"/>
      <c r="D8" s="666"/>
      <c r="E8" s="25" t="s">
        <v>18</v>
      </c>
      <c r="F8" s="697" t="s">
        <v>19</v>
      </c>
      <c r="G8" s="698"/>
      <c r="H8" s="671"/>
      <c r="I8" s="673"/>
      <c r="J8" s="675"/>
      <c r="K8" s="699" t="s">
        <v>0</v>
      </c>
      <c r="L8" s="673"/>
      <c r="M8" s="673" t="s">
        <v>62</v>
      </c>
      <c r="N8" s="700"/>
      <c r="O8" s="701" t="s">
        <v>0</v>
      </c>
      <c r="P8" s="673"/>
      <c r="Q8" s="673" t="s">
        <v>62</v>
      </c>
      <c r="R8" s="700"/>
      <c r="S8" s="699" t="s">
        <v>0</v>
      </c>
      <c r="T8" s="673"/>
      <c r="U8" s="673" t="s">
        <v>62</v>
      </c>
      <c r="V8" s="702"/>
      <c r="W8" s="671"/>
      <c r="X8" s="675"/>
      <c r="Y8" s="696"/>
      <c r="AA8" s="680" t="s">
        <v>496</v>
      </c>
      <c r="AB8" s="680"/>
      <c r="AC8" s="680"/>
      <c r="AD8" s="680"/>
    </row>
    <row r="9" spans="2:30" ht="16.5" customHeight="1" thickBot="1">
      <c r="B9" s="681" t="s">
        <v>339</v>
      </c>
      <c r="C9" s="682"/>
      <c r="D9" s="687" t="s">
        <v>21</v>
      </c>
      <c r="E9" s="39" t="s">
        <v>12</v>
      </c>
      <c r="F9" s="690" t="s">
        <v>203</v>
      </c>
      <c r="G9" s="691"/>
      <c r="H9" s="40">
        <v>4</v>
      </c>
      <c r="I9" s="41" t="s">
        <v>340</v>
      </c>
      <c r="J9" s="145">
        <f>SUM(K9:V9)</f>
        <v>3</v>
      </c>
      <c r="K9" s="690">
        <v>3</v>
      </c>
      <c r="L9" s="692"/>
      <c r="M9" s="693"/>
      <c r="N9" s="694"/>
      <c r="O9" s="695"/>
      <c r="P9" s="692"/>
      <c r="Q9" s="693"/>
      <c r="R9" s="694"/>
      <c r="S9" s="695"/>
      <c r="T9" s="692"/>
      <c r="U9" s="693"/>
      <c r="V9" s="691"/>
      <c r="W9" s="43">
        <f>SUM(K9:V9)</f>
        <v>3</v>
      </c>
      <c r="X9" s="707">
        <f>SUM(W9:W11)</f>
        <v>9</v>
      </c>
      <c r="Y9" s="709">
        <v>24</v>
      </c>
      <c r="AA9" s="135" t="s">
        <v>18</v>
      </c>
      <c r="AB9" s="136" t="s">
        <v>501</v>
      </c>
      <c r="AC9" s="136" t="s">
        <v>502</v>
      </c>
      <c r="AD9" s="137" t="s">
        <v>503</v>
      </c>
    </row>
    <row r="10" spans="2:30" ht="18" thickBot="1">
      <c r="B10" s="683"/>
      <c r="C10" s="684"/>
      <c r="D10" s="688"/>
      <c r="E10" s="44" t="s">
        <v>12</v>
      </c>
      <c r="F10" s="710" t="s">
        <v>204</v>
      </c>
      <c r="G10" s="711"/>
      <c r="H10" s="45">
        <v>4</v>
      </c>
      <c r="I10" s="46" t="s">
        <v>340</v>
      </c>
      <c r="J10" s="47">
        <f>SUM(K10:V10)</f>
        <v>3</v>
      </c>
      <c r="K10" s="710"/>
      <c r="L10" s="712"/>
      <c r="M10" s="713">
        <v>3</v>
      </c>
      <c r="N10" s="714"/>
      <c r="O10" s="715"/>
      <c r="P10" s="712"/>
      <c r="Q10" s="713"/>
      <c r="R10" s="714"/>
      <c r="S10" s="715"/>
      <c r="T10" s="712"/>
      <c r="U10" s="713"/>
      <c r="V10" s="711"/>
      <c r="W10" s="48">
        <f t="shared" ref="W10:W22" si="0">SUM(K10:V10)</f>
        <v>3</v>
      </c>
      <c r="X10" s="708"/>
      <c r="Y10" s="709"/>
      <c r="AA10" s="138" t="s">
        <v>497</v>
      </c>
      <c r="AB10" s="139">
        <v>4</v>
      </c>
      <c r="AC10" s="139">
        <v>-1</v>
      </c>
      <c r="AD10" s="22" t="s">
        <v>340</v>
      </c>
    </row>
    <row r="11" spans="2:30" ht="18" thickBot="1">
      <c r="B11" s="683"/>
      <c r="C11" s="684"/>
      <c r="D11" s="689"/>
      <c r="E11" s="49" t="s">
        <v>341</v>
      </c>
      <c r="F11" s="716" t="s">
        <v>342</v>
      </c>
      <c r="G11" s="706"/>
      <c r="H11" s="50">
        <v>4</v>
      </c>
      <c r="I11" s="51" t="s">
        <v>343</v>
      </c>
      <c r="J11" s="149">
        <f t="shared" ref="J11:J12" si="1">SUM(K11:V11)</f>
        <v>3</v>
      </c>
      <c r="K11" s="716"/>
      <c r="L11" s="704"/>
      <c r="M11" s="705"/>
      <c r="N11" s="717"/>
      <c r="O11" s="703">
        <v>3</v>
      </c>
      <c r="P11" s="704"/>
      <c r="Q11" s="705"/>
      <c r="R11" s="717"/>
      <c r="S11" s="703"/>
      <c r="T11" s="704"/>
      <c r="U11" s="705"/>
      <c r="V11" s="706"/>
      <c r="W11" s="48">
        <f t="shared" si="0"/>
        <v>3</v>
      </c>
      <c r="X11" s="708"/>
      <c r="Y11" s="709"/>
      <c r="AA11" s="138" t="s">
        <v>498</v>
      </c>
      <c r="AB11" s="139">
        <v>3</v>
      </c>
      <c r="AC11" s="139"/>
      <c r="AD11" s="22">
        <v>3</v>
      </c>
    </row>
    <row r="12" spans="2:30" ht="18" thickBot="1">
      <c r="B12" s="683"/>
      <c r="C12" s="684"/>
      <c r="D12" s="687" t="s">
        <v>5</v>
      </c>
      <c r="E12" s="39" t="s">
        <v>12</v>
      </c>
      <c r="F12" s="690" t="s">
        <v>215</v>
      </c>
      <c r="G12" s="691"/>
      <c r="H12" s="40">
        <v>4</v>
      </c>
      <c r="I12" s="41" t="s">
        <v>340</v>
      </c>
      <c r="J12" s="42">
        <f t="shared" si="1"/>
        <v>3</v>
      </c>
      <c r="K12" s="690">
        <v>3</v>
      </c>
      <c r="L12" s="692"/>
      <c r="M12" s="693"/>
      <c r="N12" s="694"/>
      <c r="O12" s="695"/>
      <c r="P12" s="692"/>
      <c r="Q12" s="693"/>
      <c r="R12" s="694"/>
      <c r="S12" s="695"/>
      <c r="T12" s="692"/>
      <c r="U12" s="693"/>
      <c r="V12" s="691"/>
      <c r="W12" s="43">
        <f t="shared" si="0"/>
        <v>3</v>
      </c>
      <c r="X12" s="707">
        <f>SUM(W12:W13)</f>
        <v>6</v>
      </c>
      <c r="Y12" s="709"/>
      <c r="AA12" s="138" t="s">
        <v>499</v>
      </c>
      <c r="AB12" s="139">
        <v>4</v>
      </c>
      <c r="AC12" s="139" t="s">
        <v>504</v>
      </c>
      <c r="AD12" s="22" t="s">
        <v>343</v>
      </c>
    </row>
    <row r="13" spans="2:30" ht="18" thickBot="1">
      <c r="B13" s="683"/>
      <c r="C13" s="684"/>
      <c r="D13" s="688"/>
      <c r="E13" s="44" t="s">
        <v>12</v>
      </c>
      <c r="F13" s="710" t="s">
        <v>217</v>
      </c>
      <c r="G13" s="711"/>
      <c r="H13" s="45">
        <v>4</v>
      </c>
      <c r="I13" s="46" t="s">
        <v>340</v>
      </c>
      <c r="J13" s="147">
        <f t="shared" ref="J13:J14" si="2">SUM(K13:V13)</f>
        <v>3</v>
      </c>
      <c r="K13" s="710"/>
      <c r="L13" s="712"/>
      <c r="M13" s="713">
        <v>3</v>
      </c>
      <c r="N13" s="714"/>
      <c r="O13" s="715"/>
      <c r="P13" s="712"/>
      <c r="Q13" s="713"/>
      <c r="R13" s="714"/>
      <c r="S13" s="715"/>
      <c r="T13" s="712"/>
      <c r="U13" s="713"/>
      <c r="V13" s="711"/>
      <c r="W13" s="48">
        <f t="shared" si="0"/>
        <v>3</v>
      </c>
      <c r="X13" s="708"/>
      <c r="Y13" s="709"/>
      <c r="AA13" s="138" t="s">
        <v>500</v>
      </c>
      <c r="AB13" s="139">
        <v>3</v>
      </c>
      <c r="AC13" s="139" t="s">
        <v>504</v>
      </c>
      <c r="AD13" s="22" t="s">
        <v>348</v>
      </c>
    </row>
    <row r="14" spans="2:30" ht="18" thickBot="1">
      <c r="B14" s="683"/>
      <c r="C14" s="684"/>
      <c r="D14" s="687" t="s">
        <v>6</v>
      </c>
      <c r="E14" s="39" t="s">
        <v>12</v>
      </c>
      <c r="F14" s="690" t="s">
        <v>222</v>
      </c>
      <c r="G14" s="691"/>
      <c r="H14" s="40">
        <v>4</v>
      </c>
      <c r="I14" s="41" t="s">
        <v>340</v>
      </c>
      <c r="J14" s="146">
        <f t="shared" si="2"/>
        <v>3</v>
      </c>
      <c r="K14" s="690">
        <v>3</v>
      </c>
      <c r="L14" s="692"/>
      <c r="M14" s="693"/>
      <c r="N14" s="694"/>
      <c r="O14" s="695"/>
      <c r="P14" s="692"/>
      <c r="Q14" s="693"/>
      <c r="R14" s="694"/>
      <c r="S14" s="695"/>
      <c r="T14" s="692"/>
      <c r="U14" s="693"/>
      <c r="V14" s="691"/>
      <c r="W14" s="43">
        <f t="shared" si="0"/>
        <v>3</v>
      </c>
      <c r="X14" s="707">
        <f t="shared" ref="X14" si="3">SUM(W14:W16)</f>
        <v>9</v>
      </c>
      <c r="Y14" s="709"/>
    </row>
    <row r="15" spans="2:30" ht="18" thickBot="1">
      <c r="B15" s="683"/>
      <c r="C15" s="684"/>
      <c r="D15" s="688"/>
      <c r="E15" s="44" t="s">
        <v>12</v>
      </c>
      <c r="F15" s="710" t="s">
        <v>228</v>
      </c>
      <c r="G15" s="711"/>
      <c r="H15" s="45">
        <v>4</v>
      </c>
      <c r="I15" s="46" t="s">
        <v>340</v>
      </c>
      <c r="J15" s="47">
        <f t="shared" ref="J15:J16" si="4">SUM(K15:V15)</f>
        <v>3</v>
      </c>
      <c r="K15" s="710"/>
      <c r="L15" s="712"/>
      <c r="M15" s="713">
        <v>3</v>
      </c>
      <c r="N15" s="714"/>
      <c r="O15" s="715"/>
      <c r="P15" s="712"/>
      <c r="Q15" s="713"/>
      <c r="R15" s="714"/>
      <c r="S15" s="715"/>
      <c r="T15" s="712"/>
      <c r="U15" s="713"/>
      <c r="V15" s="711"/>
      <c r="W15" s="48">
        <f t="shared" si="0"/>
        <v>3</v>
      </c>
      <c r="X15" s="708"/>
      <c r="Y15" s="709"/>
    </row>
    <row r="16" spans="2:30" ht="18" thickBot="1">
      <c r="B16" s="683"/>
      <c r="C16" s="684"/>
      <c r="D16" s="689"/>
      <c r="E16" s="53" t="s">
        <v>341</v>
      </c>
      <c r="F16" s="716" t="s">
        <v>344</v>
      </c>
      <c r="G16" s="706"/>
      <c r="H16" s="50">
        <v>4</v>
      </c>
      <c r="I16" s="51" t="s">
        <v>343</v>
      </c>
      <c r="J16" s="47">
        <f t="shared" si="4"/>
        <v>3</v>
      </c>
      <c r="K16" s="716"/>
      <c r="L16" s="704"/>
      <c r="M16" s="705"/>
      <c r="N16" s="717"/>
      <c r="O16" s="703"/>
      <c r="P16" s="704"/>
      <c r="Q16" s="705">
        <v>3</v>
      </c>
      <c r="R16" s="717"/>
      <c r="S16" s="703"/>
      <c r="T16" s="704"/>
      <c r="U16" s="705"/>
      <c r="V16" s="706"/>
      <c r="W16" s="48">
        <f t="shared" si="0"/>
        <v>3</v>
      </c>
      <c r="X16" s="708"/>
      <c r="Y16" s="709"/>
    </row>
    <row r="17" spans="2:29" ht="18" thickBot="1">
      <c r="B17" s="683"/>
      <c r="C17" s="684"/>
      <c r="D17" s="687" t="s">
        <v>345</v>
      </c>
      <c r="E17" s="39" t="s">
        <v>12</v>
      </c>
      <c r="F17" s="690" t="s">
        <v>236</v>
      </c>
      <c r="G17" s="691"/>
      <c r="H17" s="40">
        <v>3</v>
      </c>
      <c r="I17" s="54">
        <v>3</v>
      </c>
      <c r="J17" s="145">
        <f t="shared" ref="J17:J18" si="5">SUM(K17:V17)</f>
        <v>3</v>
      </c>
      <c r="K17" s="718">
        <v>3</v>
      </c>
      <c r="L17" s="719"/>
      <c r="M17" s="720"/>
      <c r="N17" s="721"/>
      <c r="O17" s="722"/>
      <c r="P17" s="719"/>
      <c r="Q17" s="720"/>
      <c r="R17" s="721"/>
      <c r="S17" s="722"/>
      <c r="T17" s="719"/>
      <c r="U17" s="720"/>
      <c r="V17" s="723"/>
      <c r="W17" s="43">
        <f t="shared" si="0"/>
        <v>3</v>
      </c>
      <c r="X17" s="707">
        <f>SUM(W17:W18)</f>
        <v>6</v>
      </c>
      <c r="Y17" s="709">
        <v>6</v>
      </c>
    </row>
    <row r="18" spans="2:29" ht="18" thickBot="1">
      <c r="B18" s="683"/>
      <c r="C18" s="684"/>
      <c r="D18" s="688"/>
      <c r="E18" s="55" t="s">
        <v>12</v>
      </c>
      <c r="F18" s="716" t="s">
        <v>237</v>
      </c>
      <c r="G18" s="706"/>
      <c r="H18" s="56">
        <v>3</v>
      </c>
      <c r="I18" s="57">
        <v>3</v>
      </c>
      <c r="J18" s="52">
        <f t="shared" si="5"/>
        <v>3</v>
      </c>
      <c r="K18" s="716"/>
      <c r="L18" s="704"/>
      <c r="M18" s="705">
        <v>3</v>
      </c>
      <c r="N18" s="717"/>
      <c r="O18" s="703"/>
      <c r="P18" s="704"/>
      <c r="Q18" s="705"/>
      <c r="R18" s="717"/>
      <c r="S18" s="703"/>
      <c r="T18" s="704"/>
      <c r="U18" s="705"/>
      <c r="V18" s="706"/>
      <c r="W18" s="58">
        <f t="shared" si="0"/>
        <v>3</v>
      </c>
      <c r="X18" s="725"/>
      <c r="Y18" s="709"/>
      <c r="AA18" s="724"/>
      <c r="AB18" s="724"/>
      <c r="AC18" s="141"/>
    </row>
    <row r="19" spans="2:29" ht="18" thickBot="1">
      <c r="B19" s="683"/>
      <c r="C19" s="684"/>
      <c r="D19" s="688"/>
      <c r="E19" s="39" t="s">
        <v>12</v>
      </c>
      <c r="F19" s="690" t="s">
        <v>239</v>
      </c>
      <c r="G19" s="691"/>
      <c r="H19" s="40">
        <v>4</v>
      </c>
      <c r="I19" s="54" t="s">
        <v>340</v>
      </c>
      <c r="J19" s="42">
        <f t="shared" ref="J19:J20" si="6">SUM(K19:V19)</f>
        <v>3</v>
      </c>
      <c r="K19" s="690">
        <v>3</v>
      </c>
      <c r="L19" s="692"/>
      <c r="M19" s="693"/>
      <c r="N19" s="694"/>
      <c r="O19" s="695"/>
      <c r="P19" s="692"/>
      <c r="Q19" s="693"/>
      <c r="R19" s="694"/>
      <c r="S19" s="695"/>
      <c r="T19" s="692"/>
      <c r="U19" s="693"/>
      <c r="V19" s="691"/>
      <c r="W19" s="43">
        <f t="shared" si="0"/>
        <v>3</v>
      </c>
      <c r="X19" s="707">
        <f>SUM(W19:W20)</f>
        <v>6</v>
      </c>
      <c r="Y19" s="709">
        <v>12</v>
      </c>
    </row>
    <row r="20" spans="2:29" ht="18" thickBot="1">
      <c r="B20" s="683"/>
      <c r="C20" s="684"/>
      <c r="D20" s="689"/>
      <c r="E20" s="53" t="s">
        <v>12</v>
      </c>
      <c r="F20" s="716" t="s">
        <v>240</v>
      </c>
      <c r="G20" s="706"/>
      <c r="H20" s="50">
        <v>4</v>
      </c>
      <c r="I20" s="51" t="s">
        <v>340</v>
      </c>
      <c r="J20" s="150">
        <f t="shared" si="6"/>
        <v>3</v>
      </c>
      <c r="K20" s="716"/>
      <c r="L20" s="704"/>
      <c r="M20" s="705">
        <v>3</v>
      </c>
      <c r="N20" s="717"/>
      <c r="O20" s="703"/>
      <c r="P20" s="704"/>
      <c r="Q20" s="705"/>
      <c r="R20" s="717"/>
      <c r="S20" s="703"/>
      <c r="T20" s="704"/>
      <c r="U20" s="705"/>
      <c r="V20" s="706"/>
      <c r="W20" s="58">
        <f t="shared" si="0"/>
        <v>3</v>
      </c>
      <c r="X20" s="725"/>
      <c r="Y20" s="709"/>
    </row>
    <row r="21" spans="2:29" ht="18" thickBot="1">
      <c r="B21" s="683"/>
      <c r="C21" s="684"/>
      <c r="D21" s="687" t="s">
        <v>26</v>
      </c>
      <c r="E21" s="39" t="s">
        <v>12</v>
      </c>
      <c r="F21" s="690" t="s">
        <v>257</v>
      </c>
      <c r="G21" s="691"/>
      <c r="H21" s="40">
        <v>4</v>
      </c>
      <c r="I21" s="54" t="s">
        <v>340</v>
      </c>
      <c r="J21" s="42">
        <f t="shared" ref="J21:J22" si="7">SUM(K21:V21)</f>
        <v>3</v>
      </c>
      <c r="K21" s="690">
        <v>3</v>
      </c>
      <c r="L21" s="692"/>
      <c r="M21" s="693"/>
      <c r="N21" s="694"/>
      <c r="O21" s="695"/>
      <c r="P21" s="692"/>
      <c r="Q21" s="693"/>
      <c r="R21" s="694"/>
      <c r="S21" s="695"/>
      <c r="T21" s="692"/>
      <c r="U21" s="693"/>
      <c r="V21" s="691"/>
      <c r="W21" s="43">
        <f t="shared" si="0"/>
        <v>3</v>
      </c>
      <c r="X21" s="682">
        <f>SUM(W21:W22)</f>
        <v>6</v>
      </c>
      <c r="Y21" s="709"/>
    </row>
    <row r="22" spans="2:29" ht="18" thickBot="1">
      <c r="B22" s="683"/>
      <c r="C22" s="684"/>
      <c r="D22" s="688"/>
      <c r="E22" s="44" t="s">
        <v>12</v>
      </c>
      <c r="F22" s="710" t="s">
        <v>258</v>
      </c>
      <c r="G22" s="711"/>
      <c r="H22" s="45">
        <v>4</v>
      </c>
      <c r="I22" s="46" t="s">
        <v>340</v>
      </c>
      <c r="J22" s="150">
        <f t="shared" si="7"/>
        <v>3</v>
      </c>
      <c r="K22" s="710"/>
      <c r="L22" s="712"/>
      <c r="M22" s="713"/>
      <c r="N22" s="714"/>
      <c r="O22" s="715">
        <v>3</v>
      </c>
      <c r="P22" s="712"/>
      <c r="Q22" s="713"/>
      <c r="R22" s="714"/>
      <c r="S22" s="715"/>
      <c r="T22" s="712"/>
      <c r="U22" s="713"/>
      <c r="V22" s="711"/>
      <c r="W22" s="48">
        <f t="shared" si="0"/>
        <v>3</v>
      </c>
      <c r="X22" s="684"/>
      <c r="Y22" s="709"/>
    </row>
    <row r="23" spans="2:29" ht="16.5" customHeight="1" thickBot="1">
      <c r="B23" s="683"/>
      <c r="C23" s="684"/>
      <c r="D23" s="687" t="s">
        <v>8</v>
      </c>
      <c r="E23" s="39" t="s">
        <v>346</v>
      </c>
      <c r="F23" s="690" t="s">
        <v>347</v>
      </c>
      <c r="G23" s="691"/>
      <c r="H23" s="40">
        <v>3</v>
      </c>
      <c r="I23" s="54" t="s">
        <v>348</v>
      </c>
      <c r="J23" s="145">
        <f t="shared" ref="J23:J24" si="8">SUM(K23:V23)</f>
        <v>2</v>
      </c>
      <c r="K23" s="690">
        <v>2</v>
      </c>
      <c r="L23" s="692"/>
      <c r="M23" s="693"/>
      <c r="N23" s="694"/>
      <c r="O23" s="695"/>
      <c r="P23" s="692"/>
      <c r="Q23" s="693"/>
      <c r="R23" s="694"/>
      <c r="S23" s="695"/>
      <c r="T23" s="692"/>
      <c r="U23" s="693"/>
      <c r="V23" s="691"/>
      <c r="W23" s="43">
        <f>SUM(K23:V23)</f>
        <v>2</v>
      </c>
      <c r="X23" s="726">
        <f>SUM(W23:W27)</f>
        <v>8</v>
      </c>
      <c r="Y23" s="709">
        <v>8</v>
      </c>
    </row>
    <row r="24" spans="2:29" ht="18" thickBot="1">
      <c r="B24" s="683"/>
      <c r="C24" s="684"/>
      <c r="D24" s="688"/>
      <c r="E24" s="44" t="s">
        <v>346</v>
      </c>
      <c r="F24" s="710" t="s">
        <v>349</v>
      </c>
      <c r="G24" s="711"/>
      <c r="H24" s="45">
        <v>3</v>
      </c>
      <c r="I24" s="46" t="s">
        <v>348</v>
      </c>
      <c r="J24" s="47">
        <f t="shared" si="8"/>
        <v>2</v>
      </c>
      <c r="K24" s="710"/>
      <c r="L24" s="712"/>
      <c r="M24" s="713">
        <v>2</v>
      </c>
      <c r="N24" s="714"/>
      <c r="O24" s="715"/>
      <c r="P24" s="712"/>
      <c r="Q24" s="713"/>
      <c r="R24" s="714"/>
      <c r="S24" s="715"/>
      <c r="T24" s="712"/>
      <c r="U24" s="713"/>
      <c r="V24" s="711"/>
      <c r="W24" s="48">
        <f t="shared" ref="W24:W27" si="9">SUM(K24:V24)</f>
        <v>2</v>
      </c>
      <c r="X24" s="727"/>
      <c r="Y24" s="709"/>
    </row>
    <row r="25" spans="2:29" ht="18" thickBot="1">
      <c r="B25" s="683"/>
      <c r="C25" s="684"/>
      <c r="D25" s="688"/>
      <c r="E25" s="44" t="s">
        <v>341</v>
      </c>
      <c r="F25" s="710" t="s">
        <v>364</v>
      </c>
      <c r="G25" s="711"/>
      <c r="H25" s="45">
        <v>2</v>
      </c>
      <c r="I25" s="46" t="s">
        <v>350</v>
      </c>
      <c r="J25" s="47">
        <f t="shared" ref="J25:J26" si="10">SUM(K25:V25)</f>
        <v>1</v>
      </c>
      <c r="K25" s="710"/>
      <c r="L25" s="712"/>
      <c r="M25" s="713"/>
      <c r="N25" s="714"/>
      <c r="O25" s="715">
        <v>1</v>
      </c>
      <c r="P25" s="712"/>
      <c r="Q25" s="713"/>
      <c r="R25" s="714"/>
      <c r="S25" s="715"/>
      <c r="T25" s="712"/>
      <c r="U25" s="713"/>
      <c r="V25" s="711"/>
      <c r="W25" s="48">
        <f t="shared" si="9"/>
        <v>1</v>
      </c>
      <c r="X25" s="727"/>
      <c r="Y25" s="709"/>
    </row>
    <row r="26" spans="2:29" ht="18" thickBot="1">
      <c r="B26" s="683"/>
      <c r="C26" s="684"/>
      <c r="D26" s="688"/>
      <c r="E26" s="44" t="s">
        <v>341</v>
      </c>
      <c r="F26" s="710" t="s">
        <v>515</v>
      </c>
      <c r="G26" s="711"/>
      <c r="H26" s="45">
        <v>3</v>
      </c>
      <c r="I26" s="46" t="s">
        <v>348</v>
      </c>
      <c r="J26" s="47">
        <f t="shared" si="10"/>
        <v>2</v>
      </c>
      <c r="K26" s="710"/>
      <c r="L26" s="712"/>
      <c r="M26" s="713"/>
      <c r="N26" s="714"/>
      <c r="O26" s="715"/>
      <c r="P26" s="712"/>
      <c r="Q26" s="713">
        <v>2</v>
      </c>
      <c r="R26" s="714"/>
      <c r="S26" s="715"/>
      <c r="T26" s="712"/>
      <c r="U26" s="713"/>
      <c r="V26" s="711"/>
      <c r="W26" s="48">
        <f t="shared" si="9"/>
        <v>2</v>
      </c>
      <c r="X26" s="727"/>
      <c r="Y26" s="709"/>
    </row>
    <row r="27" spans="2:29" ht="18" thickBot="1">
      <c r="B27" s="683"/>
      <c r="C27" s="684"/>
      <c r="D27" s="689"/>
      <c r="E27" s="53" t="s">
        <v>341</v>
      </c>
      <c r="F27" s="716" t="s">
        <v>516</v>
      </c>
      <c r="G27" s="706"/>
      <c r="H27" s="50">
        <v>2</v>
      </c>
      <c r="I27" s="51" t="s">
        <v>350</v>
      </c>
      <c r="J27" s="52">
        <f t="shared" ref="J27:J28" si="11">SUM(K27:V27)</f>
        <v>1</v>
      </c>
      <c r="K27" s="716"/>
      <c r="L27" s="704"/>
      <c r="M27" s="705"/>
      <c r="N27" s="717"/>
      <c r="O27" s="703"/>
      <c r="P27" s="704"/>
      <c r="Q27" s="705"/>
      <c r="R27" s="717"/>
      <c r="S27" s="703">
        <v>1</v>
      </c>
      <c r="T27" s="704"/>
      <c r="U27" s="705"/>
      <c r="V27" s="706"/>
      <c r="W27" s="58">
        <f t="shared" si="9"/>
        <v>1</v>
      </c>
      <c r="X27" s="728"/>
      <c r="Y27" s="709"/>
    </row>
    <row r="28" spans="2:29" ht="18" thickBot="1">
      <c r="B28" s="683"/>
      <c r="C28" s="684"/>
      <c r="D28" s="687" t="s">
        <v>28</v>
      </c>
      <c r="E28" s="39" t="s">
        <v>346</v>
      </c>
      <c r="F28" s="690" t="s">
        <v>47</v>
      </c>
      <c r="G28" s="691"/>
      <c r="H28" s="40">
        <v>3</v>
      </c>
      <c r="I28" s="59" t="s">
        <v>348</v>
      </c>
      <c r="J28" s="42">
        <f t="shared" si="11"/>
        <v>3</v>
      </c>
      <c r="K28" s="690"/>
      <c r="L28" s="692"/>
      <c r="M28" s="693"/>
      <c r="N28" s="694"/>
      <c r="O28" s="695">
        <v>3</v>
      </c>
      <c r="P28" s="692"/>
      <c r="Q28" s="693"/>
      <c r="R28" s="694"/>
      <c r="S28" s="695"/>
      <c r="T28" s="692"/>
      <c r="U28" s="693"/>
      <c r="V28" s="691"/>
      <c r="W28" s="729">
        <f>SUM(K28:V29)</f>
        <v>6</v>
      </c>
      <c r="X28" s="730"/>
      <c r="Y28" s="709">
        <v>6</v>
      </c>
    </row>
    <row r="29" spans="2:29" ht="18" thickBot="1">
      <c r="B29" s="683"/>
      <c r="C29" s="684"/>
      <c r="D29" s="688"/>
      <c r="E29" s="49" t="s">
        <v>341</v>
      </c>
      <c r="F29" s="716" t="s">
        <v>285</v>
      </c>
      <c r="G29" s="706"/>
      <c r="H29" s="45">
        <v>3</v>
      </c>
      <c r="I29" s="46" t="s">
        <v>348</v>
      </c>
      <c r="J29" s="146">
        <f t="shared" ref="J29:J30" si="12">SUM(K29:V29)</f>
        <v>3</v>
      </c>
      <c r="K29" s="710"/>
      <c r="L29" s="712"/>
      <c r="M29" s="713"/>
      <c r="N29" s="714"/>
      <c r="O29" s="715"/>
      <c r="P29" s="712"/>
      <c r="Q29" s="713">
        <v>3</v>
      </c>
      <c r="R29" s="714"/>
      <c r="S29" s="715"/>
      <c r="T29" s="712"/>
      <c r="U29" s="713"/>
      <c r="V29" s="711"/>
      <c r="W29" s="731"/>
      <c r="X29" s="732"/>
      <c r="Y29" s="709"/>
    </row>
    <row r="30" spans="2:29" ht="16.5" customHeight="1" thickBot="1">
      <c r="B30" s="683"/>
      <c r="C30" s="684"/>
      <c r="D30" s="733" t="s">
        <v>351</v>
      </c>
      <c r="E30" s="39" t="s">
        <v>346</v>
      </c>
      <c r="F30" s="690" t="s">
        <v>517</v>
      </c>
      <c r="G30" s="691"/>
      <c r="H30" s="40">
        <v>4</v>
      </c>
      <c r="I30" s="54" t="s">
        <v>343</v>
      </c>
      <c r="J30" s="145">
        <f t="shared" si="12"/>
        <v>3</v>
      </c>
      <c r="K30" s="690">
        <v>3</v>
      </c>
      <c r="L30" s="692"/>
      <c r="M30" s="693"/>
      <c r="N30" s="694"/>
      <c r="O30" s="695"/>
      <c r="P30" s="692"/>
      <c r="Q30" s="693"/>
      <c r="R30" s="694"/>
      <c r="S30" s="695"/>
      <c r="T30" s="692"/>
      <c r="U30" s="693"/>
      <c r="V30" s="691"/>
      <c r="W30" s="729">
        <f>SUM(K30:V32)</f>
        <v>9</v>
      </c>
      <c r="X30" s="730"/>
      <c r="Y30" s="709">
        <v>8</v>
      </c>
    </row>
    <row r="31" spans="2:29" ht="27.6" customHeight="1" thickBot="1">
      <c r="B31" s="683"/>
      <c r="C31" s="684"/>
      <c r="D31" s="734"/>
      <c r="E31" s="49" t="s">
        <v>341</v>
      </c>
      <c r="F31" s="710" t="s">
        <v>1002</v>
      </c>
      <c r="G31" s="711"/>
      <c r="H31" s="45">
        <v>4</v>
      </c>
      <c r="I31" s="46" t="s">
        <v>343</v>
      </c>
      <c r="J31" s="47">
        <f t="shared" ref="J31" si="13">SUM(K31:V31)</f>
        <v>3</v>
      </c>
      <c r="K31" s="710">
        <v>3</v>
      </c>
      <c r="L31" s="712"/>
      <c r="M31" s="713"/>
      <c r="N31" s="714"/>
      <c r="O31" s="715"/>
      <c r="P31" s="712"/>
      <c r="Q31" s="713"/>
      <c r="R31" s="714"/>
      <c r="S31" s="715"/>
      <c r="T31" s="712"/>
      <c r="U31" s="713"/>
      <c r="V31" s="711"/>
      <c r="W31" s="731"/>
      <c r="X31" s="732"/>
      <c r="Y31" s="709"/>
    </row>
    <row r="32" spans="2:29" ht="18" customHeight="1" thickBot="1">
      <c r="B32" s="685"/>
      <c r="C32" s="686"/>
      <c r="D32" s="734"/>
      <c r="E32" s="49" t="s">
        <v>346</v>
      </c>
      <c r="F32" s="747" t="s">
        <v>518</v>
      </c>
      <c r="G32" s="748"/>
      <c r="H32" s="50">
        <v>4</v>
      </c>
      <c r="I32" s="51" t="s">
        <v>343</v>
      </c>
      <c r="J32" s="47">
        <f t="shared" ref="J32" si="14">SUM(K32,K32:V32)</f>
        <v>3</v>
      </c>
      <c r="K32" s="716"/>
      <c r="L32" s="704"/>
      <c r="M32" s="705"/>
      <c r="N32" s="717"/>
      <c r="O32" s="715"/>
      <c r="P32" s="712"/>
      <c r="Q32" s="713"/>
      <c r="R32" s="714"/>
      <c r="S32" s="715">
        <v>3</v>
      </c>
      <c r="T32" s="712"/>
      <c r="U32" s="713"/>
      <c r="V32" s="711"/>
      <c r="W32" s="731"/>
      <c r="X32" s="732"/>
      <c r="Y32" s="709"/>
    </row>
    <row r="33" spans="2:29" ht="24.75" customHeight="1" thickBot="1">
      <c r="B33" s="739" t="s">
        <v>358</v>
      </c>
      <c r="C33" s="740"/>
      <c r="D33" s="740"/>
      <c r="E33" s="740"/>
      <c r="F33" s="740"/>
      <c r="G33" s="741"/>
      <c r="H33" s="142">
        <f>SUM(H9:H32)</f>
        <v>85</v>
      </c>
      <c r="I33" s="18"/>
      <c r="J33" s="148">
        <f>SUM(J9:J32)</f>
        <v>65</v>
      </c>
      <c r="K33" s="742">
        <f>SUM(K9:L32)</f>
        <v>26</v>
      </c>
      <c r="L33" s="743"/>
      <c r="M33" s="743">
        <f>SUM(M9:N32)</f>
        <v>17</v>
      </c>
      <c r="N33" s="744"/>
      <c r="O33" s="745">
        <f>SUM(O9:P32)</f>
        <v>10</v>
      </c>
      <c r="P33" s="743"/>
      <c r="Q33" s="743">
        <f>SUM(Q9:R32)</f>
        <v>8</v>
      </c>
      <c r="R33" s="746"/>
      <c r="S33" s="758">
        <f>SUM(S9:T32)</f>
        <v>4</v>
      </c>
      <c r="T33" s="743"/>
      <c r="U33" s="743">
        <f>SUM(U9:V32)</f>
        <v>0</v>
      </c>
      <c r="V33" s="759"/>
      <c r="W33" s="739">
        <f>SUM(K33:V33)</f>
        <v>65</v>
      </c>
      <c r="X33" s="758"/>
      <c r="Y33" s="148">
        <f>SUM(Y9:Y32)</f>
        <v>64</v>
      </c>
      <c r="AA33" s="735" t="b">
        <f>W33&gt;=Y33</f>
        <v>1</v>
      </c>
      <c r="AB33" s="736"/>
    </row>
    <row r="34" spans="2:29" ht="17.25" customHeight="1">
      <c r="B34" s="737" t="s">
        <v>352</v>
      </c>
      <c r="C34" s="738"/>
      <c r="D34" s="60" t="s">
        <v>68</v>
      </c>
      <c r="E34" s="61" t="s">
        <v>1000</v>
      </c>
      <c r="F34" s="750" t="s">
        <v>1001</v>
      </c>
      <c r="G34" s="751"/>
      <c r="H34" s="151" t="s">
        <v>522</v>
      </c>
      <c r="I34" s="152" t="s">
        <v>522</v>
      </c>
      <c r="J34" s="153">
        <f t="shared" ref="J34:J39" si="15">SUM(K34:V34)</f>
        <v>3</v>
      </c>
      <c r="K34" s="752">
        <v>3</v>
      </c>
      <c r="L34" s="753"/>
      <c r="M34" s="754"/>
      <c r="N34" s="755"/>
      <c r="O34" s="756"/>
      <c r="P34" s="753"/>
      <c r="Q34" s="754"/>
      <c r="R34" s="757"/>
      <c r="S34" s="755"/>
      <c r="T34" s="753"/>
      <c r="U34" s="754"/>
      <c r="V34" s="760"/>
      <c r="W34" s="761">
        <f t="shared" ref="W34:W37" si="16">SUM(K34:V34)</f>
        <v>3</v>
      </c>
      <c r="X34" s="762"/>
      <c r="Y34" s="749">
        <v>80</v>
      </c>
    </row>
    <row r="35" spans="2:29" ht="17.25" customHeight="1">
      <c r="B35" s="737"/>
      <c r="C35" s="738"/>
      <c r="D35" s="60" t="s">
        <v>68</v>
      </c>
      <c r="E35" s="61" t="s">
        <v>354</v>
      </c>
      <c r="F35" s="772" t="s">
        <v>519</v>
      </c>
      <c r="G35" s="773"/>
      <c r="H35" s="151" t="s">
        <v>522</v>
      </c>
      <c r="I35" s="152" t="s">
        <v>522</v>
      </c>
      <c r="J35" s="153">
        <f t="shared" si="15"/>
        <v>7</v>
      </c>
      <c r="K35" s="752"/>
      <c r="L35" s="753"/>
      <c r="M35" s="754"/>
      <c r="N35" s="757"/>
      <c r="O35" s="756">
        <v>3</v>
      </c>
      <c r="P35" s="753"/>
      <c r="Q35" s="754">
        <v>4</v>
      </c>
      <c r="R35" s="757"/>
      <c r="S35" s="756"/>
      <c r="T35" s="753"/>
      <c r="U35" s="754"/>
      <c r="V35" s="760"/>
      <c r="W35" s="761">
        <f t="shared" si="16"/>
        <v>7</v>
      </c>
      <c r="X35" s="762"/>
      <c r="Y35" s="749"/>
    </row>
    <row r="36" spans="2:29" ht="17.25" customHeight="1">
      <c r="B36" s="737"/>
      <c r="C36" s="738"/>
      <c r="D36" s="60" t="s">
        <v>68</v>
      </c>
      <c r="E36" s="61" t="s">
        <v>354</v>
      </c>
      <c r="F36" s="772" t="s">
        <v>520</v>
      </c>
      <c r="G36" s="773"/>
      <c r="H36" s="151" t="s">
        <v>522</v>
      </c>
      <c r="I36" s="152" t="s">
        <v>522</v>
      </c>
      <c r="J36" s="153">
        <f t="shared" si="15"/>
        <v>11</v>
      </c>
      <c r="K36" s="752"/>
      <c r="L36" s="753"/>
      <c r="M36" s="754"/>
      <c r="N36" s="757"/>
      <c r="O36" s="756">
        <v>5</v>
      </c>
      <c r="P36" s="753"/>
      <c r="Q36" s="754">
        <v>6</v>
      </c>
      <c r="R36" s="757"/>
      <c r="S36" s="756"/>
      <c r="T36" s="753"/>
      <c r="U36" s="754"/>
      <c r="V36" s="760"/>
      <c r="W36" s="761">
        <f t="shared" si="16"/>
        <v>11</v>
      </c>
      <c r="X36" s="762"/>
      <c r="Y36" s="749"/>
    </row>
    <row r="37" spans="2:29" ht="17.25" customHeight="1" thickBot="1">
      <c r="B37" s="737"/>
      <c r="C37" s="738"/>
      <c r="D37" s="60" t="s">
        <v>68</v>
      </c>
      <c r="E37" s="182" t="s">
        <v>354</v>
      </c>
      <c r="F37" s="765" t="s">
        <v>521</v>
      </c>
      <c r="G37" s="766"/>
      <c r="H37" s="189" t="s">
        <v>522</v>
      </c>
      <c r="I37" s="164" t="s">
        <v>522</v>
      </c>
      <c r="J37" s="165">
        <f t="shared" si="15"/>
        <v>11</v>
      </c>
      <c r="K37" s="767"/>
      <c r="L37" s="768"/>
      <c r="M37" s="769"/>
      <c r="N37" s="770"/>
      <c r="O37" s="771"/>
      <c r="P37" s="768"/>
      <c r="Q37" s="769"/>
      <c r="R37" s="770"/>
      <c r="S37" s="771"/>
      <c r="T37" s="768"/>
      <c r="U37" s="769">
        <v>11</v>
      </c>
      <c r="V37" s="774"/>
      <c r="W37" s="763">
        <f t="shared" si="16"/>
        <v>11</v>
      </c>
      <c r="X37" s="764"/>
      <c r="Y37" s="749"/>
    </row>
    <row r="38" spans="2:29" ht="20.25" customHeight="1">
      <c r="B38" s="799" t="s">
        <v>154</v>
      </c>
      <c r="C38" s="801" t="s">
        <v>539</v>
      </c>
      <c r="D38" s="178" t="s">
        <v>68</v>
      </c>
      <c r="E38" s="65" t="s">
        <v>353</v>
      </c>
      <c r="F38" s="778" t="s">
        <v>523</v>
      </c>
      <c r="G38" s="779"/>
      <c r="H38" s="40" t="s">
        <v>522</v>
      </c>
      <c r="I38" s="179" t="s">
        <v>524</v>
      </c>
      <c r="J38" s="42">
        <f t="shared" si="15"/>
        <v>3</v>
      </c>
      <c r="K38" s="690"/>
      <c r="L38" s="692"/>
      <c r="M38" s="693">
        <v>3</v>
      </c>
      <c r="N38" s="775"/>
      <c r="O38" s="695"/>
      <c r="P38" s="692"/>
      <c r="Q38" s="693"/>
      <c r="R38" s="694"/>
      <c r="S38" s="775"/>
      <c r="T38" s="692"/>
      <c r="U38" s="693"/>
      <c r="V38" s="691"/>
      <c r="W38" s="835">
        <f>SUM(K38:V38)</f>
        <v>3</v>
      </c>
      <c r="X38" s="836"/>
      <c r="Y38" s="749"/>
    </row>
    <row r="39" spans="2:29" ht="20.25" customHeight="1">
      <c r="B39" s="800"/>
      <c r="C39" s="802"/>
      <c r="D39" s="63" t="s">
        <v>68</v>
      </c>
      <c r="E39" s="68" t="s">
        <v>354</v>
      </c>
      <c r="F39" s="776" t="s">
        <v>525</v>
      </c>
      <c r="G39" s="777"/>
      <c r="H39" s="180" t="s">
        <v>522</v>
      </c>
      <c r="I39" s="181" t="s">
        <v>524</v>
      </c>
      <c r="J39" s="47">
        <f t="shared" si="15"/>
        <v>10</v>
      </c>
      <c r="K39" s="710"/>
      <c r="L39" s="712"/>
      <c r="M39" s="713">
        <v>4</v>
      </c>
      <c r="N39" s="714"/>
      <c r="O39" s="715">
        <v>6</v>
      </c>
      <c r="P39" s="712"/>
      <c r="Q39" s="713"/>
      <c r="R39" s="714"/>
      <c r="S39" s="715"/>
      <c r="T39" s="712"/>
      <c r="U39" s="713"/>
      <c r="V39" s="711"/>
      <c r="W39" s="763">
        <f>SUM(K39:V39)</f>
        <v>10</v>
      </c>
      <c r="X39" s="764"/>
      <c r="Y39" s="749"/>
    </row>
    <row r="40" spans="2:29" ht="16.5" customHeight="1">
      <c r="B40" s="800"/>
      <c r="C40" s="802"/>
      <c r="D40" s="62" t="s">
        <v>68</v>
      </c>
      <c r="E40" s="68" t="s">
        <v>354</v>
      </c>
      <c r="F40" s="776" t="s">
        <v>526</v>
      </c>
      <c r="G40" s="777"/>
      <c r="H40" s="180" t="s">
        <v>522</v>
      </c>
      <c r="I40" s="181" t="s">
        <v>524</v>
      </c>
      <c r="J40" s="150">
        <f t="shared" ref="J40:J51" si="17">SUM(K40:V40)</f>
        <v>10</v>
      </c>
      <c r="K40" s="710"/>
      <c r="L40" s="712"/>
      <c r="M40" s="713">
        <v>5</v>
      </c>
      <c r="N40" s="714"/>
      <c r="O40" s="715">
        <v>5</v>
      </c>
      <c r="P40" s="712"/>
      <c r="Q40" s="713"/>
      <c r="R40" s="714"/>
      <c r="S40" s="715"/>
      <c r="T40" s="712"/>
      <c r="U40" s="713"/>
      <c r="V40" s="711"/>
      <c r="W40" s="761">
        <f t="shared" ref="W40:W44" si="18">SUM(K40:V40)</f>
        <v>10</v>
      </c>
      <c r="X40" s="762"/>
      <c r="Y40" s="749"/>
    </row>
    <row r="41" spans="2:29" ht="16.5" customHeight="1">
      <c r="B41" s="800"/>
      <c r="C41" s="802"/>
      <c r="D41" s="62" t="s">
        <v>68</v>
      </c>
      <c r="E41" s="68" t="s">
        <v>354</v>
      </c>
      <c r="F41" s="776" t="s">
        <v>527</v>
      </c>
      <c r="G41" s="777"/>
      <c r="H41" s="180" t="s">
        <v>522</v>
      </c>
      <c r="I41" s="181" t="s">
        <v>524</v>
      </c>
      <c r="J41" s="172">
        <f t="shared" si="17"/>
        <v>8</v>
      </c>
      <c r="K41" s="710"/>
      <c r="L41" s="712"/>
      <c r="M41" s="713"/>
      <c r="N41" s="714"/>
      <c r="O41" s="715"/>
      <c r="P41" s="712"/>
      <c r="Q41" s="713">
        <v>8</v>
      </c>
      <c r="R41" s="714"/>
      <c r="S41" s="715"/>
      <c r="T41" s="712"/>
      <c r="U41" s="713"/>
      <c r="V41" s="711"/>
      <c r="W41" s="761">
        <f t="shared" si="18"/>
        <v>8</v>
      </c>
      <c r="X41" s="762"/>
      <c r="Y41" s="749"/>
    </row>
    <row r="42" spans="2:29">
      <c r="B42" s="800"/>
      <c r="C42" s="802"/>
      <c r="D42" s="62" t="s">
        <v>68</v>
      </c>
      <c r="E42" s="68" t="s">
        <v>354</v>
      </c>
      <c r="F42" s="776" t="s">
        <v>528</v>
      </c>
      <c r="G42" s="777"/>
      <c r="H42" s="180" t="s">
        <v>522</v>
      </c>
      <c r="I42" s="181" t="s">
        <v>524</v>
      </c>
      <c r="J42" s="47">
        <f t="shared" si="17"/>
        <v>13</v>
      </c>
      <c r="K42" s="710"/>
      <c r="L42" s="712"/>
      <c r="M42" s="713"/>
      <c r="N42" s="714"/>
      <c r="O42" s="715"/>
      <c r="P42" s="712"/>
      <c r="Q42" s="713">
        <v>3</v>
      </c>
      <c r="R42" s="714"/>
      <c r="S42" s="715">
        <v>10</v>
      </c>
      <c r="T42" s="712"/>
      <c r="U42" s="713"/>
      <c r="V42" s="711"/>
      <c r="W42" s="837">
        <f t="shared" si="18"/>
        <v>13</v>
      </c>
      <c r="X42" s="838"/>
      <c r="Y42" s="749"/>
    </row>
    <row r="43" spans="2:29">
      <c r="B43" s="800"/>
      <c r="C43" s="802"/>
      <c r="D43" s="60" t="s">
        <v>68</v>
      </c>
      <c r="E43" s="182" t="s">
        <v>354</v>
      </c>
      <c r="F43" s="776" t="s">
        <v>529</v>
      </c>
      <c r="G43" s="777"/>
      <c r="H43" s="180" t="s">
        <v>522</v>
      </c>
      <c r="I43" s="181" t="s">
        <v>524</v>
      </c>
      <c r="J43" s="172">
        <f t="shared" si="17"/>
        <v>18</v>
      </c>
      <c r="K43" s="780"/>
      <c r="L43" s="781"/>
      <c r="M43" s="782"/>
      <c r="N43" s="783"/>
      <c r="O43" s="784"/>
      <c r="P43" s="781"/>
      <c r="Q43" s="782"/>
      <c r="R43" s="783"/>
      <c r="S43" s="784">
        <v>7</v>
      </c>
      <c r="T43" s="781"/>
      <c r="U43" s="782">
        <v>11</v>
      </c>
      <c r="V43" s="787"/>
      <c r="W43" s="761">
        <f t="shared" si="18"/>
        <v>18</v>
      </c>
      <c r="X43" s="762"/>
      <c r="Y43" s="749"/>
    </row>
    <row r="44" spans="2:29" ht="18" thickBot="1">
      <c r="B44" s="800"/>
      <c r="C44" s="803"/>
      <c r="D44" s="67" t="s">
        <v>68</v>
      </c>
      <c r="E44" s="66" t="s">
        <v>354</v>
      </c>
      <c r="F44" s="785" t="s">
        <v>530</v>
      </c>
      <c r="G44" s="786"/>
      <c r="H44" s="50" t="s">
        <v>522</v>
      </c>
      <c r="I44" s="188" t="s">
        <v>522</v>
      </c>
      <c r="J44" s="52">
        <f t="shared" si="17"/>
        <v>15</v>
      </c>
      <c r="K44" s="716"/>
      <c r="L44" s="704"/>
      <c r="M44" s="705"/>
      <c r="N44" s="717"/>
      <c r="O44" s="703"/>
      <c r="P44" s="704"/>
      <c r="Q44" s="705"/>
      <c r="R44" s="717"/>
      <c r="S44" s="703">
        <v>8</v>
      </c>
      <c r="T44" s="704"/>
      <c r="U44" s="705">
        <v>7</v>
      </c>
      <c r="V44" s="706"/>
      <c r="W44" s="839">
        <f t="shared" si="18"/>
        <v>15</v>
      </c>
      <c r="X44" s="840"/>
      <c r="Y44" s="749"/>
      <c r="AC44" s="141"/>
    </row>
    <row r="45" spans="2:29">
      <c r="B45" s="800"/>
      <c r="C45" s="801" t="s">
        <v>540</v>
      </c>
      <c r="D45" s="65" t="s">
        <v>68</v>
      </c>
      <c r="E45" s="65" t="s">
        <v>353</v>
      </c>
      <c r="F45" s="795" t="s">
        <v>531</v>
      </c>
      <c r="G45" s="796"/>
      <c r="H45" s="40" t="s">
        <v>522</v>
      </c>
      <c r="I45" s="179" t="s">
        <v>524</v>
      </c>
      <c r="J45" s="170">
        <f t="shared" si="17"/>
        <v>3</v>
      </c>
      <c r="K45" s="690"/>
      <c r="L45" s="692"/>
      <c r="M45" s="693">
        <v>3</v>
      </c>
      <c r="N45" s="775"/>
      <c r="O45" s="695"/>
      <c r="P45" s="692"/>
      <c r="Q45" s="693"/>
      <c r="R45" s="694"/>
      <c r="S45" s="695"/>
      <c r="T45" s="692"/>
      <c r="U45" s="693"/>
      <c r="V45" s="691"/>
      <c r="W45" s="835">
        <f t="shared" ref="W45:W51" si="19">SUM(K45:V45)</f>
        <v>3</v>
      </c>
      <c r="X45" s="836"/>
      <c r="Y45" s="749"/>
      <c r="AC45" s="141"/>
    </row>
    <row r="46" spans="2:29">
      <c r="B46" s="800"/>
      <c r="C46" s="802"/>
      <c r="D46" s="61" t="s">
        <v>68</v>
      </c>
      <c r="E46" s="190" t="s">
        <v>354</v>
      </c>
      <c r="F46" s="776" t="s">
        <v>532</v>
      </c>
      <c r="G46" s="777"/>
      <c r="H46" s="45" t="s">
        <v>522</v>
      </c>
      <c r="I46" s="181" t="s">
        <v>524</v>
      </c>
      <c r="J46" s="149">
        <f t="shared" si="17"/>
        <v>10</v>
      </c>
      <c r="K46" s="710"/>
      <c r="L46" s="712"/>
      <c r="M46" s="713">
        <v>4</v>
      </c>
      <c r="N46" s="714"/>
      <c r="O46" s="715">
        <v>6</v>
      </c>
      <c r="P46" s="712"/>
      <c r="Q46" s="713"/>
      <c r="R46" s="714"/>
      <c r="S46" s="715"/>
      <c r="T46" s="712"/>
      <c r="U46" s="713"/>
      <c r="V46" s="711"/>
      <c r="W46" s="731">
        <f t="shared" si="19"/>
        <v>10</v>
      </c>
      <c r="X46" s="732"/>
      <c r="Y46" s="749"/>
      <c r="AC46" s="157"/>
    </row>
    <row r="47" spans="2:29">
      <c r="B47" s="800"/>
      <c r="C47" s="802"/>
      <c r="D47" s="61" t="s">
        <v>68</v>
      </c>
      <c r="E47" s="190" t="s">
        <v>354</v>
      </c>
      <c r="F47" s="776" t="s">
        <v>533</v>
      </c>
      <c r="G47" s="777"/>
      <c r="H47" s="45" t="s">
        <v>522</v>
      </c>
      <c r="I47" s="181" t="s">
        <v>524</v>
      </c>
      <c r="J47" s="47">
        <f t="shared" si="17"/>
        <v>10</v>
      </c>
      <c r="K47" s="710"/>
      <c r="L47" s="712"/>
      <c r="M47" s="713">
        <v>5</v>
      </c>
      <c r="N47" s="841"/>
      <c r="O47" s="715">
        <v>5</v>
      </c>
      <c r="P47" s="712"/>
      <c r="Q47" s="713"/>
      <c r="R47" s="714"/>
      <c r="S47" s="841"/>
      <c r="T47" s="712"/>
      <c r="U47" s="713"/>
      <c r="V47" s="711"/>
      <c r="W47" s="761">
        <f t="shared" si="19"/>
        <v>10</v>
      </c>
      <c r="X47" s="762"/>
      <c r="Y47" s="749"/>
      <c r="AC47" s="157"/>
    </row>
    <row r="48" spans="2:29">
      <c r="B48" s="800"/>
      <c r="C48" s="802"/>
      <c r="D48" s="191" t="s">
        <v>26</v>
      </c>
      <c r="E48" s="190" t="s">
        <v>534</v>
      </c>
      <c r="F48" s="776" t="s">
        <v>535</v>
      </c>
      <c r="G48" s="777"/>
      <c r="H48" s="45">
        <v>4</v>
      </c>
      <c r="I48" s="192" t="s">
        <v>343</v>
      </c>
      <c r="J48" s="149">
        <f t="shared" si="17"/>
        <v>3</v>
      </c>
      <c r="K48" s="710"/>
      <c r="L48" s="712"/>
      <c r="M48" s="713"/>
      <c r="N48" s="714"/>
      <c r="O48" s="715"/>
      <c r="P48" s="712"/>
      <c r="Q48" s="713">
        <v>3</v>
      </c>
      <c r="R48" s="714"/>
      <c r="S48" s="715"/>
      <c r="T48" s="712"/>
      <c r="U48" s="713"/>
      <c r="V48" s="711"/>
      <c r="W48" s="731">
        <f t="shared" si="19"/>
        <v>3</v>
      </c>
      <c r="X48" s="732"/>
      <c r="Y48" s="749"/>
      <c r="AC48" s="157"/>
    </row>
    <row r="49" spans="2:29">
      <c r="B49" s="800"/>
      <c r="C49" s="802"/>
      <c r="D49" s="193" t="s">
        <v>68</v>
      </c>
      <c r="E49" s="194" t="s">
        <v>354</v>
      </c>
      <c r="F49" s="765" t="s">
        <v>536</v>
      </c>
      <c r="G49" s="766"/>
      <c r="H49" s="45" t="s">
        <v>522</v>
      </c>
      <c r="I49" s="181" t="s">
        <v>524</v>
      </c>
      <c r="J49" s="47">
        <f t="shared" si="17"/>
        <v>18</v>
      </c>
      <c r="K49" s="710"/>
      <c r="L49" s="712"/>
      <c r="M49" s="713"/>
      <c r="N49" s="714"/>
      <c r="O49" s="715"/>
      <c r="P49" s="712"/>
      <c r="Q49" s="713">
        <v>8</v>
      </c>
      <c r="R49" s="714"/>
      <c r="S49" s="715">
        <v>10</v>
      </c>
      <c r="T49" s="712"/>
      <c r="U49" s="713"/>
      <c r="V49" s="711"/>
      <c r="W49" s="761">
        <f t="shared" si="19"/>
        <v>18</v>
      </c>
      <c r="X49" s="762"/>
      <c r="Y49" s="749"/>
      <c r="AC49" s="157"/>
    </row>
    <row r="50" spans="2:29">
      <c r="B50" s="800"/>
      <c r="C50" s="802"/>
      <c r="D50" s="61" t="s">
        <v>68</v>
      </c>
      <c r="E50" s="190" t="s">
        <v>354</v>
      </c>
      <c r="F50" s="797" t="s">
        <v>537</v>
      </c>
      <c r="G50" s="798"/>
      <c r="H50" s="45" t="s">
        <v>522</v>
      </c>
      <c r="I50" s="181" t="s">
        <v>524</v>
      </c>
      <c r="J50" s="149">
        <f t="shared" si="17"/>
        <v>18</v>
      </c>
      <c r="K50" s="710"/>
      <c r="L50" s="712"/>
      <c r="M50" s="713"/>
      <c r="N50" s="714"/>
      <c r="O50" s="715"/>
      <c r="P50" s="712"/>
      <c r="Q50" s="713"/>
      <c r="R50" s="714"/>
      <c r="S50" s="715">
        <v>7</v>
      </c>
      <c r="T50" s="712"/>
      <c r="U50" s="713">
        <v>11</v>
      </c>
      <c r="V50" s="711"/>
      <c r="W50" s="731">
        <f t="shared" si="19"/>
        <v>18</v>
      </c>
      <c r="X50" s="732"/>
      <c r="Y50" s="749"/>
      <c r="AC50" s="157"/>
    </row>
    <row r="51" spans="2:29" ht="18" thickBot="1">
      <c r="B51" s="800"/>
      <c r="C51" s="803"/>
      <c r="D51" s="66" t="s">
        <v>68</v>
      </c>
      <c r="E51" s="158" t="s">
        <v>354</v>
      </c>
      <c r="F51" s="785" t="s">
        <v>538</v>
      </c>
      <c r="G51" s="786"/>
      <c r="H51" s="50" t="s">
        <v>522</v>
      </c>
      <c r="I51" s="188" t="s">
        <v>524</v>
      </c>
      <c r="J51" s="171">
        <f t="shared" si="17"/>
        <v>15</v>
      </c>
      <c r="K51" s="716"/>
      <c r="L51" s="704"/>
      <c r="M51" s="705"/>
      <c r="N51" s="717"/>
      <c r="O51" s="703"/>
      <c r="P51" s="704"/>
      <c r="Q51" s="705"/>
      <c r="R51" s="717"/>
      <c r="S51" s="703">
        <v>8</v>
      </c>
      <c r="T51" s="704"/>
      <c r="U51" s="705">
        <v>7</v>
      </c>
      <c r="V51" s="706"/>
      <c r="W51" s="842">
        <f t="shared" si="19"/>
        <v>15</v>
      </c>
      <c r="X51" s="843"/>
      <c r="Y51" s="749"/>
      <c r="AC51" s="72"/>
    </row>
    <row r="52" spans="2:29" ht="24.75" customHeight="1" thickBot="1">
      <c r="B52" s="794" t="s">
        <v>358</v>
      </c>
      <c r="C52" s="792"/>
      <c r="D52" s="792"/>
      <c r="E52" s="792"/>
      <c r="F52" s="792"/>
      <c r="G52" s="793"/>
      <c r="H52" s="161">
        <f>SUM(H34:H37)</f>
        <v>0</v>
      </c>
      <c r="I52" s="162">
        <f>SUM(I34:I37)</f>
        <v>0</v>
      </c>
      <c r="J52" s="163">
        <v>109</v>
      </c>
      <c r="K52" s="794">
        <f>SUM(K34:L44)</f>
        <v>3</v>
      </c>
      <c r="L52" s="789"/>
      <c r="M52" s="790">
        <f>SUM(M34:N44)</f>
        <v>12</v>
      </c>
      <c r="N52" s="791"/>
      <c r="O52" s="788">
        <f>SUM(O34:P44)</f>
        <v>19</v>
      </c>
      <c r="P52" s="789"/>
      <c r="Q52" s="790">
        <f>SUM(Q34:R44)</f>
        <v>21</v>
      </c>
      <c r="R52" s="791"/>
      <c r="S52" s="792">
        <f>SUM(S34:T44)</f>
        <v>25</v>
      </c>
      <c r="T52" s="789"/>
      <c r="U52" s="790">
        <f>SUM(U34:V44)</f>
        <v>29</v>
      </c>
      <c r="V52" s="793"/>
      <c r="W52" s="794">
        <f>SUM(K52:V52)</f>
        <v>109</v>
      </c>
      <c r="X52" s="793"/>
      <c r="Y52" s="160">
        <f>SUM(Y34:Y43)</f>
        <v>80</v>
      </c>
      <c r="AC52" s="141"/>
    </row>
    <row r="53" spans="2:29" ht="17.25" customHeight="1" thickBot="1">
      <c r="B53" s="739" t="s">
        <v>541</v>
      </c>
      <c r="C53" s="740"/>
      <c r="D53" s="740"/>
      <c r="E53" s="740"/>
      <c r="F53" s="740"/>
      <c r="G53" s="741"/>
      <c r="H53" s="143">
        <f>SUM(H33,H52)</f>
        <v>85</v>
      </c>
      <c r="I53" s="144">
        <f>SUM(I33,I52)</f>
        <v>0</v>
      </c>
      <c r="J53" s="148">
        <f>SUM(J33,J52)</f>
        <v>174</v>
      </c>
      <c r="K53" s="739">
        <f>SUM(K33,K52)</f>
        <v>29</v>
      </c>
      <c r="L53" s="758"/>
      <c r="M53" s="744">
        <f>SUM(M33,M52)</f>
        <v>29</v>
      </c>
      <c r="N53" s="817"/>
      <c r="O53" s="818">
        <f>SUM(O33,O52)</f>
        <v>29</v>
      </c>
      <c r="P53" s="758"/>
      <c r="Q53" s="744">
        <f>SUM(Q33,Q52)</f>
        <v>29</v>
      </c>
      <c r="R53" s="817"/>
      <c r="S53" s="818">
        <f>SUM(S33,S52)</f>
        <v>29</v>
      </c>
      <c r="T53" s="758"/>
      <c r="U53" s="744">
        <f>SUM(U33,U52)</f>
        <v>29</v>
      </c>
      <c r="V53" s="741"/>
      <c r="W53" s="739">
        <f>SUM(K53:V53)</f>
        <v>174</v>
      </c>
      <c r="X53" s="741"/>
      <c r="Y53" s="11">
        <f>Y52+Y33</f>
        <v>144</v>
      </c>
      <c r="AA53" s="724" t="s">
        <v>156</v>
      </c>
      <c r="AB53" s="724"/>
    </row>
    <row r="54" spans="2:29" ht="18.75" customHeight="1" thickBot="1">
      <c r="B54" s="805" t="s">
        <v>359</v>
      </c>
      <c r="C54" s="806"/>
      <c r="D54" s="806"/>
      <c r="E54" s="807"/>
      <c r="F54" s="814" t="s">
        <v>356</v>
      </c>
      <c r="G54" s="815"/>
      <c r="H54" s="815"/>
      <c r="I54" s="815"/>
      <c r="J54" s="816"/>
      <c r="K54" s="690">
        <v>16</v>
      </c>
      <c r="L54" s="692"/>
      <c r="M54" s="693">
        <v>16</v>
      </c>
      <c r="N54" s="694"/>
      <c r="O54" s="695">
        <v>16</v>
      </c>
      <c r="P54" s="692"/>
      <c r="Q54" s="693">
        <v>16</v>
      </c>
      <c r="R54" s="694"/>
      <c r="S54" s="695">
        <v>16</v>
      </c>
      <c r="T54" s="692"/>
      <c r="U54" s="693">
        <v>16</v>
      </c>
      <c r="V54" s="691"/>
      <c r="W54" s="805">
        <f>SUM(K54:V56)</f>
        <v>288</v>
      </c>
      <c r="X54" s="807"/>
      <c r="Y54" s="821">
        <f>Y57*16</f>
        <v>288</v>
      </c>
      <c r="AA54" s="804"/>
      <c r="AB54" s="804"/>
    </row>
    <row r="55" spans="2:29" ht="17.25" customHeight="1" thickBot="1">
      <c r="B55" s="808"/>
      <c r="C55" s="809"/>
      <c r="D55" s="809"/>
      <c r="E55" s="810"/>
      <c r="F55" s="823" t="s">
        <v>63</v>
      </c>
      <c r="G55" s="824"/>
      <c r="H55" s="824"/>
      <c r="I55" s="824"/>
      <c r="J55" s="825"/>
      <c r="K55" s="710">
        <v>16</v>
      </c>
      <c r="L55" s="712"/>
      <c r="M55" s="713">
        <v>16</v>
      </c>
      <c r="N55" s="714"/>
      <c r="O55" s="715">
        <v>16</v>
      </c>
      <c r="P55" s="712"/>
      <c r="Q55" s="713">
        <v>16</v>
      </c>
      <c r="R55" s="714"/>
      <c r="S55" s="715">
        <v>16</v>
      </c>
      <c r="T55" s="712"/>
      <c r="U55" s="713">
        <v>16</v>
      </c>
      <c r="V55" s="711"/>
      <c r="W55" s="808"/>
      <c r="X55" s="810"/>
      <c r="Y55" s="749"/>
      <c r="AA55" s="735" t="b">
        <f>W53&gt;=Y53</f>
        <v>1</v>
      </c>
      <c r="AB55" s="736"/>
    </row>
    <row r="56" spans="2:29" ht="17.25" customHeight="1">
      <c r="B56" s="808"/>
      <c r="C56" s="809"/>
      <c r="D56" s="809"/>
      <c r="E56" s="810"/>
      <c r="F56" s="823" t="s">
        <v>11</v>
      </c>
      <c r="G56" s="824"/>
      <c r="H56" s="824"/>
      <c r="I56" s="824"/>
      <c r="J56" s="825"/>
      <c r="K56" s="710">
        <v>16</v>
      </c>
      <c r="L56" s="712"/>
      <c r="M56" s="713">
        <v>16</v>
      </c>
      <c r="N56" s="714"/>
      <c r="O56" s="715">
        <v>16</v>
      </c>
      <c r="P56" s="712"/>
      <c r="Q56" s="713">
        <v>16</v>
      </c>
      <c r="R56" s="714"/>
      <c r="S56" s="715">
        <v>16</v>
      </c>
      <c r="T56" s="712"/>
      <c r="U56" s="713">
        <v>16</v>
      </c>
      <c r="V56" s="711"/>
      <c r="W56" s="819"/>
      <c r="X56" s="820"/>
      <c r="Y56" s="822"/>
    </row>
    <row r="57" spans="2:29" ht="17.25" customHeight="1" thickBot="1">
      <c r="B57" s="811"/>
      <c r="C57" s="812"/>
      <c r="D57" s="812"/>
      <c r="E57" s="813"/>
      <c r="F57" s="831" t="s">
        <v>149</v>
      </c>
      <c r="G57" s="833"/>
      <c r="H57" s="833"/>
      <c r="I57" s="833"/>
      <c r="J57" s="832"/>
      <c r="K57" s="834">
        <v>3</v>
      </c>
      <c r="L57" s="827"/>
      <c r="M57" s="828">
        <v>3</v>
      </c>
      <c r="N57" s="829"/>
      <c r="O57" s="826">
        <v>3</v>
      </c>
      <c r="P57" s="827"/>
      <c r="Q57" s="828">
        <v>3</v>
      </c>
      <c r="R57" s="829"/>
      <c r="S57" s="826">
        <v>3</v>
      </c>
      <c r="T57" s="827"/>
      <c r="U57" s="828">
        <v>3</v>
      </c>
      <c r="V57" s="830"/>
      <c r="W57" s="831">
        <f>SUM(K57:V57)</f>
        <v>18</v>
      </c>
      <c r="X57" s="832"/>
      <c r="Y57" s="74">
        <v>18</v>
      </c>
      <c r="AA57" s="724" t="s">
        <v>157</v>
      </c>
      <c r="AB57" s="724"/>
    </row>
    <row r="58" spans="2:29" ht="17.25" customHeight="1" thickBot="1">
      <c r="B58" s="739"/>
      <c r="C58" s="740"/>
      <c r="D58" s="740"/>
      <c r="E58" s="740"/>
      <c r="F58" s="740"/>
      <c r="G58" s="740"/>
      <c r="H58" s="740"/>
      <c r="I58" s="740"/>
      <c r="J58" s="741"/>
      <c r="K58" s="739">
        <v>32</v>
      </c>
      <c r="L58" s="758"/>
      <c r="M58" s="744">
        <v>32</v>
      </c>
      <c r="N58" s="817"/>
      <c r="O58" s="818">
        <v>32</v>
      </c>
      <c r="P58" s="758"/>
      <c r="Q58" s="744">
        <v>32</v>
      </c>
      <c r="R58" s="817"/>
      <c r="S58" s="818">
        <v>32</v>
      </c>
      <c r="T58" s="758"/>
      <c r="U58" s="744">
        <v>32</v>
      </c>
      <c r="V58" s="741"/>
      <c r="W58" s="739">
        <f>SUM(K58:V58)</f>
        <v>192</v>
      </c>
      <c r="X58" s="741"/>
      <c r="Y58" s="35">
        <f>W58</f>
        <v>192</v>
      </c>
      <c r="AA58" s="735" t="b">
        <f>W57&gt;=Y57</f>
        <v>1</v>
      </c>
      <c r="AB58" s="736"/>
    </row>
    <row r="59" spans="2:29" ht="17.25" customHeight="1" thickBot="1">
      <c r="B59" s="739"/>
      <c r="C59" s="740"/>
      <c r="D59" s="740"/>
      <c r="E59" s="740"/>
      <c r="F59" s="740"/>
      <c r="G59" s="740"/>
      <c r="H59" s="740"/>
      <c r="I59" s="740"/>
      <c r="J59" s="741"/>
      <c r="K59" s="739">
        <f>SUM(K58:N58)</f>
        <v>64</v>
      </c>
      <c r="L59" s="740"/>
      <c r="M59" s="740"/>
      <c r="N59" s="817"/>
      <c r="O59" s="818">
        <f>SUM(O58:R58)</f>
        <v>64</v>
      </c>
      <c r="P59" s="740"/>
      <c r="Q59" s="740"/>
      <c r="R59" s="817"/>
      <c r="S59" s="818">
        <f>SUM(S58:V58)</f>
        <v>64</v>
      </c>
      <c r="T59" s="740"/>
      <c r="U59" s="740"/>
      <c r="V59" s="741"/>
      <c r="W59" s="739">
        <f>SUM(K59:V59)</f>
        <v>192</v>
      </c>
      <c r="X59" s="741"/>
      <c r="Y59" s="11"/>
      <c r="AA59" s="724" t="s">
        <v>153</v>
      </c>
      <c r="AB59" s="724"/>
    </row>
    <row r="60" spans="2:29" ht="17.25" customHeight="1" thickBot="1">
      <c r="AA60" s="735" t="b">
        <f>W58&gt;=Y58</f>
        <v>1</v>
      </c>
      <c r="AB60" s="736"/>
    </row>
    <row r="61" spans="2:29" ht="17.25" customHeight="1"/>
    <row r="62" spans="2:29" ht="17.25" customHeight="1"/>
    <row r="63" spans="2:29" ht="17.25" customHeight="1"/>
    <row r="65" ht="24.9" customHeight="1"/>
    <row r="66" ht="24.9" customHeight="1"/>
    <row r="67" ht="32.25" customHeight="1"/>
    <row r="68" ht="24.9" customHeight="1"/>
    <row r="70" ht="16.5" customHeight="1"/>
    <row r="71" ht="17.2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244.5" customHeight="1"/>
  </sheetData>
  <mergeCells count="458">
    <mergeCell ref="C45:C51"/>
    <mergeCell ref="Q47:R47"/>
    <mergeCell ref="Q48:R48"/>
    <mergeCell ref="Q49:R49"/>
    <mergeCell ref="Q50:R50"/>
    <mergeCell ref="Q51:R51"/>
    <mergeCell ref="W46:X46"/>
    <mergeCell ref="W47:X47"/>
    <mergeCell ref="W48:X48"/>
    <mergeCell ref="W49:X49"/>
    <mergeCell ref="W50:X50"/>
    <mergeCell ref="W51:X51"/>
    <mergeCell ref="O51:P51"/>
    <mergeCell ref="K49:L49"/>
    <mergeCell ref="K50:L50"/>
    <mergeCell ref="K51:L51"/>
    <mergeCell ref="M48:N48"/>
    <mergeCell ref="M49:N49"/>
    <mergeCell ref="M50:N50"/>
    <mergeCell ref="M51:N51"/>
    <mergeCell ref="F51:G51"/>
    <mergeCell ref="K46:L46"/>
    <mergeCell ref="K47:L47"/>
    <mergeCell ref="K48:L48"/>
    <mergeCell ref="M46:N46"/>
    <mergeCell ref="O46:P46"/>
    <mergeCell ref="Q46:R46"/>
    <mergeCell ref="S46:T46"/>
    <mergeCell ref="U46:V46"/>
    <mergeCell ref="M47:N47"/>
    <mergeCell ref="U47:V47"/>
    <mergeCell ref="U48:V48"/>
    <mergeCell ref="U49:V49"/>
    <mergeCell ref="U50:V50"/>
    <mergeCell ref="U51:V51"/>
    <mergeCell ref="S47:T47"/>
    <mergeCell ref="S48:T48"/>
    <mergeCell ref="S49:T49"/>
    <mergeCell ref="S50:T50"/>
    <mergeCell ref="S51:T51"/>
    <mergeCell ref="O47:P47"/>
    <mergeCell ref="O48:P48"/>
    <mergeCell ref="O49:P49"/>
    <mergeCell ref="O50:P50"/>
    <mergeCell ref="W38:X38"/>
    <mergeCell ref="W39:X39"/>
    <mergeCell ref="W40:X40"/>
    <mergeCell ref="W41:X41"/>
    <mergeCell ref="W42:X42"/>
    <mergeCell ref="W43:X43"/>
    <mergeCell ref="W44:X44"/>
    <mergeCell ref="W45:X45"/>
    <mergeCell ref="AA60:AB60"/>
    <mergeCell ref="W58:X58"/>
    <mergeCell ref="AA58:AB58"/>
    <mergeCell ref="B59:J59"/>
    <mergeCell ref="K59:N59"/>
    <mergeCell ref="O59:R59"/>
    <mergeCell ref="S59:V59"/>
    <mergeCell ref="W59:X59"/>
    <mergeCell ref="AA59:AB59"/>
    <mergeCell ref="U57:V57"/>
    <mergeCell ref="W57:X57"/>
    <mergeCell ref="AA57:AB57"/>
    <mergeCell ref="B58:J58"/>
    <mergeCell ref="K58:L58"/>
    <mergeCell ref="M58:N58"/>
    <mergeCell ref="O58:P58"/>
    <mergeCell ref="Q58:R58"/>
    <mergeCell ref="S58:T58"/>
    <mergeCell ref="U58:V58"/>
    <mergeCell ref="F57:J57"/>
    <mergeCell ref="K57:L57"/>
    <mergeCell ref="M57:N57"/>
    <mergeCell ref="U55:V55"/>
    <mergeCell ref="O57:P57"/>
    <mergeCell ref="Q57:R57"/>
    <mergeCell ref="S57:T57"/>
    <mergeCell ref="AA55:AB55"/>
    <mergeCell ref="F56:J56"/>
    <mergeCell ref="K56:L56"/>
    <mergeCell ref="M56:N56"/>
    <mergeCell ref="O56:P56"/>
    <mergeCell ref="Q56:R56"/>
    <mergeCell ref="S56:T56"/>
    <mergeCell ref="U56:V56"/>
    <mergeCell ref="S55:T55"/>
    <mergeCell ref="U53:V53"/>
    <mergeCell ref="W53:X53"/>
    <mergeCell ref="AA53:AB54"/>
    <mergeCell ref="B54:E57"/>
    <mergeCell ref="F54:J54"/>
    <mergeCell ref="K54:L54"/>
    <mergeCell ref="M54:N54"/>
    <mergeCell ref="O54:P54"/>
    <mergeCell ref="Q54:R54"/>
    <mergeCell ref="S54:T54"/>
    <mergeCell ref="B53:G53"/>
    <mergeCell ref="K53:L53"/>
    <mergeCell ref="M53:N53"/>
    <mergeCell ref="O53:P53"/>
    <mergeCell ref="Q53:R53"/>
    <mergeCell ref="S53:T53"/>
    <mergeCell ref="U54:V54"/>
    <mergeCell ref="W54:X56"/>
    <mergeCell ref="Y54:Y56"/>
    <mergeCell ref="F55:J55"/>
    <mergeCell ref="K55:L55"/>
    <mergeCell ref="M55:N55"/>
    <mergeCell ref="O55:P55"/>
    <mergeCell ref="Q55:R55"/>
    <mergeCell ref="U43:V43"/>
    <mergeCell ref="U44:V44"/>
    <mergeCell ref="F46:G46"/>
    <mergeCell ref="O52:P52"/>
    <mergeCell ref="Q52:R52"/>
    <mergeCell ref="S52:T52"/>
    <mergeCell ref="U52:V52"/>
    <mergeCell ref="W52:X52"/>
    <mergeCell ref="B52:G52"/>
    <mergeCell ref="K52:L52"/>
    <mergeCell ref="M52:N52"/>
    <mergeCell ref="F45:G45"/>
    <mergeCell ref="K45:L45"/>
    <mergeCell ref="M45:N45"/>
    <mergeCell ref="O45:P45"/>
    <mergeCell ref="Q45:R45"/>
    <mergeCell ref="S45:T45"/>
    <mergeCell ref="U45:V45"/>
    <mergeCell ref="F47:G47"/>
    <mergeCell ref="F48:G48"/>
    <mergeCell ref="F49:G49"/>
    <mergeCell ref="F50:G50"/>
    <mergeCell ref="B38:B51"/>
    <mergeCell ref="C38:C44"/>
    <mergeCell ref="O41:P41"/>
    <mergeCell ref="Q41:R41"/>
    <mergeCell ref="S41:T41"/>
    <mergeCell ref="F44:G44"/>
    <mergeCell ref="K44:L44"/>
    <mergeCell ref="M44:N44"/>
    <mergeCell ref="O44:P44"/>
    <mergeCell ref="Q44:R44"/>
    <mergeCell ref="S44:T44"/>
    <mergeCell ref="F40:G40"/>
    <mergeCell ref="K40:L40"/>
    <mergeCell ref="F41:G41"/>
    <mergeCell ref="K41:L41"/>
    <mergeCell ref="F43:G43"/>
    <mergeCell ref="U41:V41"/>
    <mergeCell ref="F42:G42"/>
    <mergeCell ref="K42:L42"/>
    <mergeCell ref="M42:N42"/>
    <mergeCell ref="O42:P42"/>
    <mergeCell ref="Q42:R42"/>
    <mergeCell ref="S42:T42"/>
    <mergeCell ref="U42:V42"/>
    <mergeCell ref="M40:N40"/>
    <mergeCell ref="O40:P40"/>
    <mergeCell ref="Q40:R40"/>
    <mergeCell ref="S40:T40"/>
    <mergeCell ref="U40:V40"/>
    <mergeCell ref="K43:L43"/>
    <mergeCell ref="M43:N43"/>
    <mergeCell ref="O43:P43"/>
    <mergeCell ref="Q43:R43"/>
    <mergeCell ref="S43:T43"/>
    <mergeCell ref="M41:N41"/>
    <mergeCell ref="U38:V38"/>
    <mergeCell ref="U39:V39"/>
    <mergeCell ref="F35:G35"/>
    <mergeCell ref="K35:L35"/>
    <mergeCell ref="M35:N35"/>
    <mergeCell ref="O35:P35"/>
    <mergeCell ref="Q35:R35"/>
    <mergeCell ref="S35:T35"/>
    <mergeCell ref="U35:V35"/>
    <mergeCell ref="U37:V37"/>
    <mergeCell ref="S38:T38"/>
    <mergeCell ref="F39:G39"/>
    <mergeCell ref="K39:L39"/>
    <mergeCell ref="M39:N39"/>
    <mergeCell ref="O39:P39"/>
    <mergeCell ref="Q39:R39"/>
    <mergeCell ref="S39:T39"/>
    <mergeCell ref="F38:G38"/>
    <mergeCell ref="K38:L38"/>
    <mergeCell ref="M38:N38"/>
    <mergeCell ref="O38:P38"/>
    <mergeCell ref="Q38:R38"/>
    <mergeCell ref="W37:X37"/>
    <mergeCell ref="F37:G37"/>
    <mergeCell ref="K37:L37"/>
    <mergeCell ref="M37:N37"/>
    <mergeCell ref="O37:P37"/>
    <mergeCell ref="Q37:R37"/>
    <mergeCell ref="S37:T37"/>
    <mergeCell ref="W35:X35"/>
    <mergeCell ref="F36:G36"/>
    <mergeCell ref="K36:L36"/>
    <mergeCell ref="M36:N36"/>
    <mergeCell ref="O36:P36"/>
    <mergeCell ref="Q36:R36"/>
    <mergeCell ref="S36:T36"/>
    <mergeCell ref="U36:V36"/>
    <mergeCell ref="W36:X36"/>
    <mergeCell ref="F34:G34"/>
    <mergeCell ref="K34:L34"/>
    <mergeCell ref="M34:N34"/>
    <mergeCell ref="O34:P34"/>
    <mergeCell ref="Q34:R34"/>
    <mergeCell ref="S33:T33"/>
    <mergeCell ref="U33:V33"/>
    <mergeCell ref="W33:X33"/>
    <mergeCell ref="S34:T34"/>
    <mergeCell ref="U34:V34"/>
    <mergeCell ref="W34:X34"/>
    <mergeCell ref="D28:D29"/>
    <mergeCell ref="AA33:AB33"/>
    <mergeCell ref="B34:C37"/>
    <mergeCell ref="M32:N32"/>
    <mergeCell ref="O32:P32"/>
    <mergeCell ref="Q32:R32"/>
    <mergeCell ref="S32:T32"/>
    <mergeCell ref="U32:V32"/>
    <mergeCell ref="B33:G33"/>
    <mergeCell ref="K33:L33"/>
    <mergeCell ref="M33:N33"/>
    <mergeCell ref="O33:P33"/>
    <mergeCell ref="Q33:R33"/>
    <mergeCell ref="W30:X32"/>
    <mergeCell ref="Y30:Y32"/>
    <mergeCell ref="F31:G31"/>
    <mergeCell ref="K31:L31"/>
    <mergeCell ref="M31:N31"/>
    <mergeCell ref="O31:P31"/>
    <mergeCell ref="Q31:R31"/>
    <mergeCell ref="S31:T31"/>
    <mergeCell ref="U31:V31"/>
    <mergeCell ref="F32:G32"/>
    <mergeCell ref="Y34:Y51"/>
    <mergeCell ref="D30:D32"/>
    <mergeCell ref="F30:G30"/>
    <mergeCell ref="K30:L30"/>
    <mergeCell ref="M30:N30"/>
    <mergeCell ref="O30:P30"/>
    <mergeCell ref="Q30:R30"/>
    <mergeCell ref="S30:T30"/>
    <mergeCell ref="U30:V30"/>
    <mergeCell ref="K32:L32"/>
    <mergeCell ref="S28:T28"/>
    <mergeCell ref="U28:V28"/>
    <mergeCell ref="W28:X29"/>
    <mergeCell ref="Y28:Y29"/>
    <mergeCell ref="F29:G29"/>
    <mergeCell ref="K29:L29"/>
    <mergeCell ref="M29:N29"/>
    <mergeCell ref="O29:P29"/>
    <mergeCell ref="Q29:R29"/>
    <mergeCell ref="S29:T29"/>
    <mergeCell ref="F28:G28"/>
    <mergeCell ref="K28:L28"/>
    <mergeCell ref="M28:N28"/>
    <mergeCell ref="O28:P28"/>
    <mergeCell ref="Q28:R28"/>
    <mergeCell ref="U29:V29"/>
    <mergeCell ref="U26:V26"/>
    <mergeCell ref="F27:G27"/>
    <mergeCell ref="K27:L27"/>
    <mergeCell ref="M27:N27"/>
    <mergeCell ref="O27:P27"/>
    <mergeCell ref="Q27:R27"/>
    <mergeCell ref="S27:T27"/>
    <mergeCell ref="U27:V27"/>
    <mergeCell ref="F26:G26"/>
    <mergeCell ref="K26:L26"/>
    <mergeCell ref="M26:N26"/>
    <mergeCell ref="O26:P26"/>
    <mergeCell ref="Q26:R26"/>
    <mergeCell ref="S26:T26"/>
    <mergeCell ref="X23:X27"/>
    <mergeCell ref="Y23:Y27"/>
    <mergeCell ref="F24:G24"/>
    <mergeCell ref="K24:L24"/>
    <mergeCell ref="M24:N24"/>
    <mergeCell ref="O24:P24"/>
    <mergeCell ref="Q24:R24"/>
    <mergeCell ref="S24:T24"/>
    <mergeCell ref="D23:D27"/>
    <mergeCell ref="F23:G23"/>
    <mergeCell ref="K23:L23"/>
    <mergeCell ref="M23:N23"/>
    <mergeCell ref="O23:P23"/>
    <mergeCell ref="Q23:R23"/>
    <mergeCell ref="U24:V24"/>
    <mergeCell ref="F25:G25"/>
    <mergeCell ref="K25:L25"/>
    <mergeCell ref="M25:N25"/>
    <mergeCell ref="O25:P25"/>
    <mergeCell ref="Q25:R25"/>
    <mergeCell ref="S25:T25"/>
    <mergeCell ref="U25:V25"/>
    <mergeCell ref="S23:T23"/>
    <mergeCell ref="U23:V23"/>
    <mergeCell ref="D21:D22"/>
    <mergeCell ref="F21:G21"/>
    <mergeCell ref="K21:L21"/>
    <mergeCell ref="M21:N21"/>
    <mergeCell ref="O21:P21"/>
    <mergeCell ref="Q21:R21"/>
    <mergeCell ref="S21:T21"/>
    <mergeCell ref="U21:V21"/>
    <mergeCell ref="F20:G20"/>
    <mergeCell ref="K20:L20"/>
    <mergeCell ref="M20:N20"/>
    <mergeCell ref="O20:P20"/>
    <mergeCell ref="Q20:R20"/>
    <mergeCell ref="S20:T20"/>
    <mergeCell ref="F22:G22"/>
    <mergeCell ref="K22:L22"/>
    <mergeCell ref="M22:N22"/>
    <mergeCell ref="O22:P22"/>
    <mergeCell ref="Q22:R22"/>
    <mergeCell ref="S22:T22"/>
    <mergeCell ref="U22:V22"/>
    <mergeCell ref="U20:V20"/>
    <mergeCell ref="AA18:AB18"/>
    <mergeCell ref="F19:G19"/>
    <mergeCell ref="K19:L19"/>
    <mergeCell ref="M19:N19"/>
    <mergeCell ref="O19:P19"/>
    <mergeCell ref="Q19:R19"/>
    <mergeCell ref="S19:T19"/>
    <mergeCell ref="U19:V19"/>
    <mergeCell ref="X19:X20"/>
    <mergeCell ref="Y19:Y22"/>
    <mergeCell ref="X21:X22"/>
    <mergeCell ref="X17:X18"/>
    <mergeCell ref="Y17:Y18"/>
    <mergeCell ref="F18:G18"/>
    <mergeCell ref="K18:L18"/>
    <mergeCell ref="M18:N18"/>
    <mergeCell ref="O18:P18"/>
    <mergeCell ref="Q18:R18"/>
    <mergeCell ref="S18:T18"/>
    <mergeCell ref="U18:V18"/>
    <mergeCell ref="K16:L16"/>
    <mergeCell ref="M16:N16"/>
    <mergeCell ref="O16:P16"/>
    <mergeCell ref="Q16:R16"/>
    <mergeCell ref="S16:T16"/>
    <mergeCell ref="U16:V16"/>
    <mergeCell ref="D17:D20"/>
    <mergeCell ref="F17:G17"/>
    <mergeCell ref="K17:L17"/>
    <mergeCell ref="M17:N17"/>
    <mergeCell ref="O17:P17"/>
    <mergeCell ref="Q17:R17"/>
    <mergeCell ref="S17:T17"/>
    <mergeCell ref="D14:D16"/>
    <mergeCell ref="U17:V17"/>
    <mergeCell ref="X12:X13"/>
    <mergeCell ref="F13:G13"/>
    <mergeCell ref="K13:L13"/>
    <mergeCell ref="M13:N13"/>
    <mergeCell ref="O13:P13"/>
    <mergeCell ref="Q13:R13"/>
    <mergeCell ref="S13:T13"/>
    <mergeCell ref="U13:V13"/>
    <mergeCell ref="S14:T14"/>
    <mergeCell ref="U14:V14"/>
    <mergeCell ref="X14:X16"/>
    <mergeCell ref="F15:G15"/>
    <mergeCell ref="K15:L15"/>
    <mergeCell ref="M15:N15"/>
    <mergeCell ref="O15:P15"/>
    <mergeCell ref="Q15:R15"/>
    <mergeCell ref="S15:T15"/>
    <mergeCell ref="U15:V15"/>
    <mergeCell ref="F14:G14"/>
    <mergeCell ref="K14:L14"/>
    <mergeCell ref="M14:N14"/>
    <mergeCell ref="O14:P14"/>
    <mergeCell ref="Q14:R14"/>
    <mergeCell ref="F16:G16"/>
    <mergeCell ref="K10:L10"/>
    <mergeCell ref="M10:N10"/>
    <mergeCell ref="O10:P10"/>
    <mergeCell ref="Q10:R10"/>
    <mergeCell ref="S10:T10"/>
    <mergeCell ref="U10:V10"/>
    <mergeCell ref="F11:G11"/>
    <mergeCell ref="D12:D13"/>
    <mergeCell ref="F12:G12"/>
    <mergeCell ref="K12:L12"/>
    <mergeCell ref="M12:N12"/>
    <mergeCell ref="O12:P12"/>
    <mergeCell ref="Q12:R12"/>
    <mergeCell ref="K11:L11"/>
    <mergeCell ref="M11:N11"/>
    <mergeCell ref="O11:P11"/>
    <mergeCell ref="Q11:R11"/>
    <mergeCell ref="S12:T12"/>
    <mergeCell ref="U12:V12"/>
    <mergeCell ref="AA8:AD8"/>
    <mergeCell ref="B9:C32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S11:T11"/>
    <mergeCell ref="U11:V11"/>
    <mergeCell ref="X9:X11"/>
    <mergeCell ref="Y9:Y16"/>
    <mergeCell ref="F10:G10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3:AB33 AC51 AA55:AB55 AA58:AB58 AA60:AB60">
    <cfRule type="containsText" dxfId="3" priority="1" operator="containsText" text="FALSE">
      <formula>NOT(ISERROR(SEARCH("FALSE",AA33)))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78F3B2A-F55F-4CB4-A7D1-A3BC7B1D5306}">
          <x14:formula1>
            <xm:f>삭제금지!$J$2:$J$59</xm:f>
          </x14:formula1>
          <xm:sqref>H5:J5</xm:sqref>
        </x14:dataValidation>
        <x14:dataValidation type="list" allowBlank="1" showInputMessage="1" showErrorMessage="1" xr:uid="{A31FE258-0599-48D5-9D82-113DD41FC10A}">
          <x14:formula1>
            <xm:f>삭제금지!$I$2:$I$18</xm:f>
          </x14:formula1>
          <xm:sqref>F5:G5</xm:sqref>
        </x14:dataValidation>
        <x14:dataValidation type="list" allowBlank="1" showInputMessage="1" showErrorMessage="1" xr:uid="{123AEA21-9B28-4C09-8161-2E29045643E9}">
          <x14:formula1>
            <xm:f>삭제금지!$K$2:$K$59</xm:f>
          </x14:formula1>
          <xm:sqref>K5:O5</xm:sqref>
        </x14:dataValidation>
        <x14:dataValidation type="list" allowBlank="1" showInputMessage="1" showErrorMessage="1" xr:uid="{A7530862-EEFF-49DF-AB0C-3C0E929EBB7B}">
          <x14:formula1>
            <xm:f>삭제금지!$L$2:$L$4</xm:f>
          </x14:formula1>
          <xm:sqref>T5:V5</xm:sqref>
        </x14:dataValidation>
        <x14:dataValidation type="list" allowBlank="1" showInputMessage="1" showErrorMessage="1" xr:uid="{F2C369EE-208C-4E2B-82E8-38D9E9C28476}">
          <x14:formula1>
            <xm:f>삭제금지!$H$2:$H$18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C04E-58F3-4987-B35E-1C6D3211A8C7}">
  <sheetPr>
    <pageSetUpPr fitToPage="1"/>
  </sheetPr>
  <dimension ref="B1:AD104"/>
  <sheetViews>
    <sheetView zoomScaleNormal="100" zoomScaleSheetLayoutView="100" workbookViewId="0">
      <pane ySplit="8" topLeftCell="A14" activePane="bottomLeft" state="frozen"/>
      <selection pane="bottomLeft" activeCell="Q39" sqref="Q39:R39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7.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8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634" t="s">
        <v>506</v>
      </c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5"/>
      <c r="V2" s="636" t="s">
        <v>130</v>
      </c>
      <c r="W2" s="637"/>
      <c r="X2" s="638">
        <v>2027</v>
      </c>
      <c r="Y2" s="639"/>
      <c r="AA2" s="640" t="s">
        <v>143</v>
      </c>
      <c r="AB2" s="19" t="s">
        <v>144</v>
      </c>
      <c r="AC2" s="34" t="s">
        <v>152</v>
      </c>
      <c r="AD2" s="20" t="s">
        <v>145</v>
      </c>
    </row>
    <row r="3" spans="2:30" ht="18" thickBot="1">
      <c r="B3" s="643" t="s">
        <v>357</v>
      </c>
      <c r="C3" s="645" t="s">
        <v>53</v>
      </c>
      <c r="D3" s="646"/>
      <c r="E3" s="646"/>
      <c r="F3" s="645" t="s">
        <v>64</v>
      </c>
      <c r="G3" s="649"/>
      <c r="H3" s="645" t="s">
        <v>54</v>
      </c>
      <c r="I3" s="646"/>
      <c r="J3" s="646"/>
      <c r="K3" s="645" t="s">
        <v>55</v>
      </c>
      <c r="L3" s="646"/>
      <c r="M3" s="646"/>
      <c r="N3" s="646"/>
      <c r="O3" s="649"/>
      <c r="P3" s="651" t="s">
        <v>56</v>
      </c>
      <c r="Q3" s="652"/>
      <c r="R3" s="652"/>
      <c r="S3" s="652"/>
      <c r="T3" s="652"/>
      <c r="U3" s="652"/>
      <c r="V3" s="652"/>
      <c r="W3" s="652"/>
      <c r="X3" s="652"/>
      <c r="Y3" s="653"/>
      <c r="AA3" s="641"/>
      <c r="AB3" s="21" t="s">
        <v>146</v>
      </c>
      <c r="AC3" s="36" t="s">
        <v>508</v>
      </c>
      <c r="AD3" s="22" t="s">
        <v>509</v>
      </c>
    </row>
    <row r="4" spans="2:30" ht="18" thickBot="1">
      <c r="B4" s="644"/>
      <c r="C4" s="647"/>
      <c r="D4" s="648"/>
      <c r="E4" s="648"/>
      <c r="F4" s="647"/>
      <c r="G4" s="650"/>
      <c r="H4" s="647"/>
      <c r="I4" s="648"/>
      <c r="J4" s="648"/>
      <c r="K4" s="647"/>
      <c r="L4" s="648"/>
      <c r="M4" s="648"/>
      <c r="N4" s="648"/>
      <c r="O4" s="650"/>
      <c r="P4" s="651" t="s">
        <v>127</v>
      </c>
      <c r="Q4" s="652"/>
      <c r="R4" s="652"/>
      <c r="S4" s="652"/>
      <c r="T4" s="651" t="s">
        <v>61</v>
      </c>
      <c r="U4" s="652"/>
      <c r="V4" s="653"/>
      <c r="W4" s="652" t="s">
        <v>128</v>
      </c>
      <c r="X4" s="652"/>
      <c r="Y4" s="653"/>
      <c r="AA4" s="641"/>
      <c r="AB4" s="23" t="s">
        <v>147</v>
      </c>
      <c r="AC4" s="37" t="s">
        <v>510</v>
      </c>
      <c r="AD4" s="22" t="s">
        <v>511</v>
      </c>
    </row>
    <row r="5" spans="2:30" ht="64.8" customHeight="1" thickBot="1">
      <c r="B5" s="195" t="s">
        <v>505</v>
      </c>
      <c r="C5" s="654" t="s">
        <v>507</v>
      </c>
      <c r="D5" s="654"/>
      <c r="E5" s="654"/>
      <c r="F5" s="655" t="s">
        <v>155</v>
      </c>
      <c r="G5" s="656"/>
      <c r="H5" s="655" t="s">
        <v>542</v>
      </c>
      <c r="I5" s="654"/>
      <c r="J5" s="654"/>
      <c r="K5" s="655"/>
      <c r="L5" s="654"/>
      <c r="M5" s="654"/>
      <c r="N5" s="654"/>
      <c r="O5" s="656"/>
      <c r="P5" s="655" t="s">
        <v>543</v>
      </c>
      <c r="Q5" s="654"/>
      <c r="R5" s="654"/>
      <c r="S5" s="654"/>
      <c r="T5" s="655" t="s">
        <v>513</v>
      </c>
      <c r="U5" s="654"/>
      <c r="V5" s="654"/>
      <c r="W5" s="844" t="s">
        <v>895</v>
      </c>
      <c r="X5" s="845"/>
      <c r="Y5" s="846"/>
      <c r="AA5" s="642"/>
      <c r="AB5" s="24" t="s">
        <v>148</v>
      </c>
      <c r="AC5" s="38"/>
      <c r="AD5" s="140"/>
    </row>
    <row r="6" spans="2:30" ht="15.75" customHeight="1" thickBot="1">
      <c r="U6" s="660"/>
      <c r="V6" s="660"/>
      <c r="W6" s="660"/>
      <c r="X6" s="660"/>
      <c r="Y6" s="660"/>
    </row>
    <row r="7" spans="2:30" s="10" customFormat="1" ht="22.5" customHeight="1">
      <c r="B7" s="661" t="s">
        <v>2</v>
      </c>
      <c r="C7" s="662"/>
      <c r="D7" s="665" t="s">
        <v>120</v>
      </c>
      <c r="E7" s="667" t="s">
        <v>57</v>
      </c>
      <c r="F7" s="668"/>
      <c r="G7" s="669"/>
      <c r="H7" s="670" t="s">
        <v>133</v>
      </c>
      <c r="I7" s="672" t="s">
        <v>134</v>
      </c>
      <c r="J7" s="674" t="s">
        <v>135</v>
      </c>
      <c r="K7" s="676" t="s">
        <v>58</v>
      </c>
      <c r="L7" s="672"/>
      <c r="M7" s="672"/>
      <c r="N7" s="677"/>
      <c r="O7" s="678" t="s">
        <v>59</v>
      </c>
      <c r="P7" s="672"/>
      <c r="Q7" s="672"/>
      <c r="R7" s="677"/>
      <c r="S7" s="676" t="s">
        <v>60</v>
      </c>
      <c r="T7" s="672"/>
      <c r="U7" s="672"/>
      <c r="V7" s="679"/>
      <c r="W7" s="670" t="s">
        <v>136</v>
      </c>
      <c r="X7" s="674"/>
      <c r="Y7" s="669" t="s">
        <v>137</v>
      </c>
      <c r="Z7" s="9"/>
    </row>
    <row r="8" spans="2:30" s="10" customFormat="1" ht="22.5" customHeight="1" thickBot="1">
      <c r="B8" s="663"/>
      <c r="C8" s="664"/>
      <c r="D8" s="666"/>
      <c r="E8" s="25" t="s">
        <v>18</v>
      </c>
      <c r="F8" s="697" t="s">
        <v>19</v>
      </c>
      <c r="G8" s="698"/>
      <c r="H8" s="671"/>
      <c r="I8" s="673"/>
      <c r="J8" s="675"/>
      <c r="K8" s="699" t="s">
        <v>0</v>
      </c>
      <c r="L8" s="673"/>
      <c r="M8" s="673" t="s">
        <v>62</v>
      </c>
      <c r="N8" s="700"/>
      <c r="O8" s="701" t="s">
        <v>0</v>
      </c>
      <c r="P8" s="673"/>
      <c r="Q8" s="673" t="s">
        <v>62</v>
      </c>
      <c r="R8" s="700"/>
      <c r="S8" s="699" t="s">
        <v>0</v>
      </c>
      <c r="T8" s="673"/>
      <c r="U8" s="673" t="s">
        <v>62</v>
      </c>
      <c r="V8" s="702"/>
      <c r="W8" s="671"/>
      <c r="X8" s="675"/>
      <c r="Y8" s="696"/>
      <c r="AA8" s="680" t="s">
        <v>496</v>
      </c>
      <c r="AB8" s="680"/>
      <c r="AC8" s="680"/>
      <c r="AD8" s="680"/>
    </row>
    <row r="9" spans="2:30" ht="16.5" customHeight="1" thickBot="1">
      <c r="B9" s="681" t="s">
        <v>339</v>
      </c>
      <c r="C9" s="682"/>
      <c r="D9" s="687" t="s">
        <v>21</v>
      </c>
      <c r="E9" s="39" t="s">
        <v>12</v>
      </c>
      <c r="F9" s="690" t="s">
        <v>203</v>
      </c>
      <c r="G9" s="691"/>
      <c r="H9" s="40">
        <v>4</v>
      </c>
      <c r="I9" s="41" t="s">
        <v>340</v>
      </c>
      <c r="J9" s="170">
        <f>SUM(K9:V9)</f>
        <v>3</v>
      </c>
      <c r="K9" s="690">
        <v>3</v>
      </c>
      <c r="L9" s="692"/>
      <c r="M9" s="693"/>
      <c r="N9" s="694"/>
      <c r="O9" s="695"/>
      <c r="P9" s="692"/>
      <c r="Q9" s="693"/>
      <c r="R9" s="694"/>
      <c r="S9" s="695"/>
      <c r="T9" s="692"/>
      <c r="U9" s="693"/>
      <c r="V9" s="691"/>
      <c r="W9" s="43">
        <f>SUM(K9:V9)</f>
        <v>3</v>
      </c>
      <c r="X9" s="707">
        <f>SUM(W9:W11)</f>
        <v>9</v>
      </c>
      <c r="Y9" s="709">
        <v>24</v>
      </c>
      <c r="AA9" s="135" t="s">
        <v>18</v>
      </c>
      <c r="AB9" s="136" t="s">
        <v>501</v>
      </c>
      <c r="AC9" s="136" t="s">
        <v>502</v>
      </c>
      <c r="AD9" s="137" t="s">
        <v>503</v>
      </c>
    </row>
    <row r="10" spans="2:30" ht="18" thickBot="1">
      <c r="B10" s="683"/>
      <c r="C10" s="684"/>
      <c r="D10" s="688"/>
      <c r="E10" s="44" t="s">
        <v>12</v>
      </c>
      <c r="F10" s="710" t="s">
        <v>204</v>
      </c>
      <c r="G10" s="711"/>
      <c r="H10" s="45">
        <v>4</v>
      </c>
      <c r="I10" s="46" t="s">
        <v>340</v>
      </c>
      <c r="J10" s="47">
        <f>SUM(K10:V10)</f>
        <v>3</v>
      </c>
      <c r="K10" s="710"/>
      <c r="L10" s="712"/>
      <c r="M10" s="713">
        <v>3</v>
      </c>
      <c r="N10" s="714"/>
      <c r="O10" s="715"/>
      <c r="P10" s="712"/>
      <c r="Q10" s="713"/>
      <c r="R10" s="714"/>
      <c r="S10" s="715"/>
      <c r="T10" s="712"/>
      <c r="U10" s="713"/>
      <c r="V10" s="711"/>
      <c r="W10" s="48">
        <f t="shared" ref="W10:W23" si="0">SUM(K10:V10)</f>
        <v>3</v>
      </c>
      <c r="X10" s="708"/>
      <c r="Y10" s="709"/>
      <c r="AA10" s="138" t="s">
        <v>497</v>
      </c>
      <c r="AB10" s="139">
        <v>4</v>
      </c>
      <c r="AC10" s="139">
        <v>-1</v>
      </c>
      <c r="AD10" s="22" t="s">
        <v>340</v>
      </c>
    </row>
    <row r="11" spans="2:30" ht="18" thickBot="1">
      <c r="B11" s="683"/>
      <c r="C11" s="684"/>
      <c r="D11" s="689"/>
      <c r="E11" s="49" t="s">
        <v>341</v>
      </c>
      <c r="F11" s="716" t="s">
        <v>342</v>
      </c>
      <c r="G11" s="706"/>
      <c r="H11" s="50">
        <v>4</v>
      </c>
      <c r="I11" s="51" t="s">
        <v>343</v>
      </c>
      <c r="J11" s="149">
        <f t="shared" ref="J11:J32" si="1">SUM(K11:V11)</f>
        <v>3</v>
      </c>
      <c r="K11" s="716"/>
      <c r="L11" s="704"/>
      <c r="M11" s="705"/>
      <c r="N11" s="717"/>
      <c r="O11" s="703">
        <v>3</v>
      </c>
      <c r="P11" s="704"/>
      <c r="Q11" s="705"/>
      <c r="R11" s="717"/>
      <c r="S11" s="703"/>
      <c r="T11" s="704"/>
      <c r="U11" s="705"/>
      <c r="V11" s="706"/>
      <c r="W11" s="48">
        <f t="shared" si="0"/>
        <v>3</v>
      </c>
      <c r="X11" s="708"/>
      <c r="Y11" s="709"/>
      <c r="AA11" s="138" t="s">
        <v>498</v>
      </c>
      <c r="AB11" s="139">
        <v>3</v>
      </c>
      <c r="AC11" s="139"/>
      <c r="AD11" s="22">
        <v>3</v>
      </c>
    </row>
    <row r="12" spans="2:30" ht="18" thickBot="1">
      <c r="B12" s="683"/>
      <c r="C12" s="684"/>
      <c r="D12" s="687" t="s">
        <v>5</v>
      </c>
      <c r="E12" s="39" t="s">
        <v>12</v>
      </c>
      <c r="F12" s="690" t="s">
        <v>215</v>
      </c>
      <c r="G12" s="691"/>
      <c r="H12" s="40">
        <v>4</v>
      </c>
      <c r="I12" s="41" t="s">
        <v>340</v>
      </c>
      <c r="J12" s="42">
        <f t="shared" si="1"/>
        <v>3</v>
      </c>
      <c r="K12" s="690">
        <v>3</v>
      </c>
      <c r="L12" s="692"/>
      <c r="M12" s="693"/>
      <c r="N12" s="694"/>
      <c r="O12" s="695"/>
      <c r="P12" s="692"/>
      <c r="Q12" s="693"/>
      <c r="R12" s="694"/>
      <c r="S12" s="695"/>
      <c r="T12" s="692"/>
      <c r="U12" s="693"/>
      <c r="V12" s="691"/>
      <c r="W12" s="43">
        <f t="shared" si="0"/>
        <v>3</v>
      </c>
      <c r="X12" s="707">
        <f>SUM(W12:W13)</f>
        <v>6</v>
      </c>
      <c r="Y12" s="709"/>
      <c r="AA12" s="138" t="s">
        <v>499</v>
      </c>
      <c r="AB12" s="139">
        <v>4</v>
      </c>
      <c r="AC12" s="139" t="s">
        <v>504</v>
      </c>
      <c r="AD12" s="22" t="s">
        <v>343</v>
      </c>
    </row>
    <row r="13" spans="2:30" ht="18" thickBot="1">
      <c r="B13" s="683"/>
      <c r="C13" s="684"/>
      <c r="D13" s="688"/>
      <c r="E13" s="44" t="s">
        <v>12</v>
      </c>
      <c r="F13" s="710" t="s">
        <v>217</v>
      </c>
      <c r="G13" s="711"/>
      <c r="H13" s="45">
        <v>4</v>
      </c>
      <c r="I13" s="46" t="s">
        <v>340</v>
      </c>
      <c r="J13" s="171">
        <f t="shared" si="1"/>
        <v>3</v>
      </c>
      <c r="K13" s="710"/>
      <c r="L13" s="712"/>
      <c r="M13" s="713">
        <v>3</v>
      </c>
      <c r="N13" s="714"/>
      <c r="O13" s="715"/>
      <c r="P13" s="712"/>
      <c r="Q13" s="713"/>
      <c r="R13" s="714"/>
      <c r="S13" s="715"/>
      <c r="T13" s="712"/>
      <c r="U13" s="713"/>
      <c r="V13" s="711"/>
      <c r="W13" s="48">
        <f t="shared" si="0"/>
        <v>3</v>
      </c>
      <c r="X13" s="708"/>
      <c r="Y13" s="709"/>
      <c r="AA13" s="138" t="s">
        <v>500</v>
      </c>
      <c r="AB13" s="139">
        <v>3</v>
      </c>
      <c r="AC13" s="139" t="s">
        <v>504</v>
      </c>
      <c r="AD13" s="22" t="s">
        <v>348</v>
      </c>
    </row>
    <row r="14" spans="2:30" ht="18" thickBot="1">
      <c r="B14" s="683"/>
      <c r="C14" s="684"/>
      <c r="D14" s="687" t="s">
        <v>6</v>
      </c>
      <c r="E14" s="39" t="s">
        <v>12</v>
      </c>
      <c r="F14" s="690" t="s">
        <v>222</v>
      </c>
      <c r="G14" s="691"/>
      <c r="H14" s="40">
        <v>4</v>
      </c>
      <c r="I14" s="41" t="s">
        <v>340</v>
      </c>
      <c r="J14" s="172">
        <f t="shared" si="1"/>
        <v>3</v>
      </c>
      <c r="K14" s="690">
        <v>3</v>
      </c>
      <c r="L14" s="692"/>
      <c r="M14" s="693"/>
      <c r="N14" s="694"/>
      <c r="O14" s="695"/>
      <c r="P14" s="692"/>
      <c r="Q14" s="693"/>
      <c r="R14" s="694"/>
      <c r="S14" s="695"/>
      <c r="T14" s="692"/>
      <c r="U14" s="693"/>
      <c r="V14" s="691"/>
      <c r="W14" s="43">
        <f t="shared" si="0"/>
        <v>3</v>
      </c>
      <c r="X14" s="707">
        <f t="shared" ref="X14" si="2">SUM(W14:W16)</f>
        <v>9</v>
      </c>
      <c r="Y14" s="709"/>
    </row>
    <row r="15" spans="2:30" ht="18" thickBot="1">
      <c r="B15" s="683"/>
      <c r="C15" s="684"/>
      <c r="D15" s="688"/>
      <c r="E15" s="44" t="s">
        <v>12</v>
      </c>
      <c r="F15" s="710" t="s">
        <v>228</v>
      </c>
      <c r="G15" s="711"/>
      <c r="H15" s="45">
        <v>4</v>
      </c>
      <c r="I15" s="46" t="s">
        <v>340</v>
      </c>
      <c r="J15" s="47">
        <f t="shared" si="1"/>
        <v>3</v>
      </c>
      <c r="K15" s="710"/>
      <c r="L15" s="712"/>
      <c r="M15" s="713">
        <v>3</v>
      </c>
      <c r="N15" s="714"/>
      <c r="O15" s="715"/>
      <c r="P15" s="712"/>
      <c r="Q15" s="713"/>
      <c r="R15" s="714"/>
      <c r="S15" s="715"/>
      <c r="T15" s="712"/>
      <c r="U15" s="713"/>
      <c r="V15" s="711"/>
      <c r="W15" s="48">
        <f t="shared" si="0"/>
        <v>3</v>
      </c>
      <c r="X15" s="708"/>
      <c r="Y15" s="709"/>
    </row>
    <row r="16" spans="2:30" ht="18" thickBot="1">
      <c r="B16" s="683"/>
      <c r="C16" s="684"/>
      <c r="D16" s="689"/>
      <c r="E16" s="53" t="s">
        <v>341</v>
      </c>
      <c r="F16" s="716" t="s">
        <v>344</v>
      </c>
      <c r="G16" s="706"/>
      <c r="H16" s="50">
        <v>4</v>
      </c>
      <c r="I16" s="51" t="s">
        <v>343</v>
      </c>
      <c r="J16" s="47">
        <f t="shared" si="1"/>
        <v>3</v>
      </c>
      <c r="K16" s="716"/>
      <c r="L16" s="704"/>
      <c r="M16" s="705"/>
      <c r="N16" s="717"/>
      <c r="O16" s="703"/>
      <c r="P16" s="704"/>
      <c r="Q16" s="705">
        <v>3</v>
      </c>
      <c r="R16" s="717"/>
      <c r="S16" s="703"/>
      <c r="T16" s="704"/>
      <c r="U16" s="705"/>
      <c r="V16" s="706"/>
      <c r="W16" s="48">
        <f t="shared" si="0"/>
        <v>3</v>
      </c>
      <c r="X16" s="708"/>
      <c r="Y16" s="709"/>
    </row>
    <row r="17" spans="2:29" ht="18" thickBot="1">
      <c r="B17" s="683"/>
      <c r="C17" s="684"/>
      <c r="D17" s="687" t="s">
        <v>345</v>
      </c>
      <c r="E17" s="39" t="s">
        <v>12</v>
      </c>
      <c r="F17" s="690" t="s">
        <v>236</v>
      </c>
      <c r="G17" s="691"/>
      <c r="H17" s="40">
        <v>3</v>
      </c>
      <c r="I17" s="54">
        <v>3</v>
      </c>
      <c r="J17" s="170">
        <f t="shared" si="1"/>
        <v>3</v>
      </c>
      <c r="K17" s="718">
        <v>3</v>
      </c>
      <c r="L17" s="719"/>
      <c r="M17" s="720"/>
      <c r="N17" s="721"/>
      <c r="O17" s="722"/>
      <c r="P17" s="719"/>
      <c r="Q17" s="720"/>
      <c r="R17" s="721"/>
      <c r="S17" s="722"/>
      <c r="T17" s="719"/>
      <c r="U17" s="720"/>
      <c r="V17" s="723"/>
      <c r="W17" s="43">
        <f t="shared" si="0"/>
        <v>3</v>
      </c>
      <c r="X17" s="707">
        <f>SUM(W17:W18)</f>
        <v>6</v>
      </c>
      <c r="Y17" s="709">
        <v>6</v>
      </c>
    </row>
    <row r="18" spans="2:29" ht="18" thickBot="1">
      <c r="B18" s="683"/>
      <c r="C18" s="684"/>
      <c r="D18" s="688"/>
      <c r="E18" s="55" t="s">
        <v>12</v>
      </c>
      <c r="F18" s="716" t="s">
        <v>237</v>
      </c>
      <c r="G18" s="706"/>
      <c r="H18" s="56">
        <v>3</v>
      </c>
      <c r="I18" s="57">
        <v>3</v>
      </c>
      <c r="J18" s="52">
        <f t="shared" si="1"/>
        <v>3</v>
      </c>
      <c r="K18" s="716"/>
      <c r="L18" s="704"/>
      <c r="M18" s="705">
        <v>3</v>
      </c>
      <c r="N18" s="717"/>
      <c r="O18" s="703"/>
      <c r="P18" s="704"/>
      <c r="Q18" s="705"/>
      <c r="R18" s="717"/>
      <c r="S18" s="703"/>
      <c r="T18" s="704"/>
      <c r="U18" s="705"/>
      <c r="V18" s="706"/>
      <c r="W18" s="58">
        <f t="shared" si="0"/>
        <v>3</v>
      </c>
      <c r="X18" s="725"/>
      <c r="Y18" s="709"/>
      <c r="AA18" s="724"/>
      <c r="AB18" s="724"/>
      <c r="AC18" s="157"/>
    </row>
    <row r="19" spans="2:29" ht="18" thickBot="1">
      <c r="B19" s="683"/>
      <c r="C19" s="684"/>
      <c r="D19" s="688"/>
      <c r="E19" s="39" t="s">
        <v>12</v>
      </c>
      <c r="F19" s="690" t="s">
        <v>239</v>
      </c>
      <c r="G19" s="691"/>
      <c r="H19" s="40">
        <v>4</v>
      </c>
      <c r="I19" s="54" t="s">
        <v>340</v>
      </c>
      <c r="J19" s="42">
        <f t="shared" si="1"/>
        <v>3</v>
      </c>
      <c r="K19" s="690">
        <v>3</v>
      </c>
      <c r="L19" s="692"/>
      <c r="M19" s="693"/>
      <c r="N19" s="694"/>
      <c r="O19" s="695"/>
      <c r="P19" s="692"/>
      <c r="Q19" s="693"/>
      <c r="R19" s="694"/>
      <c r="S19" s="695"/>
      <c r="T19" s="692"/>
      <c r="U19" s="693"/>
      <c r="V19" s="691"/>
      <c r="W19" s="43">
        <f t="shared" si="0"/>
        <v>3</v>
      </c>
      <c r="X19" s="707">
        <f>SUM(W19:W20)</f>
        <v>6</v>
      </c>
      <c r="Y19" s="709">
        <v>12</v>
      </c>
    </row>
    <row r="20" spans="2:29" ht="18" thickBot="1">
      <c r="B20" s="683"/>
      <c r="C20" s="684"/>
      <c r="D20" s="689"/>
      <c r="E20" s="53" t="s">
        <v>12</v>
      </c>
      <c r="F20" s="716" t="s">
        <v>240</v>
      </c>
      <c r="G20" s="706"/>
      <c r="H20" s="50">
        <v>4</v>
      </c>
      <c r="I20" s="51" t="s">
        <v>340</v>
      </c>
      <c r="J20" s="150">
        <f t="shared" si="1"/>
        <v>3</v>
      </c>
      <c r="K20" s="716"/>
      <c r="L20" s="704"/>
      <c r="M20" s="705">
        <v>3</v>
      </c>
      <c r="N20" s="717"/>
      <c r="O20" s="703"/>
      <c r="P20" s="704"/>
      <c r="Q20" s="705"/>
      <c r="R20" s="717"/>
      <c r="S20" s="703"/>
      <c r="T20" s="704"/>
      <c r="U20" s="705"/>
      <c r="V20" s="706"/>
      <c r="W20" s="58">
        <f t="shared" si="0"/>
        <v>3</v>
      </c>
      <c r="X20" s="725"/>
      <c r="Y20" s="709"/>
    </row>
    <row r="21" spans="2:29" ht="18" thickBot="1">
      <c r="B21" s="683"/>
      <c r="C21" s="684"/>
      <c r="D21" s="687" t="s">
        <v>26</v>
      </c>
      <c r="E21" s="39" t="s">
        <v>12</v>
      </c>
      <c r="F21" s="690" t="s">
        <v>257</v>
      </c>
      <c r="G21" s="691"/>
      <c r="H21" s="40">
        <v>4</v>
      </c>
      <c r="I21" s="54" t="s">
        <v>340</v>
      </c>
      <c r="J21" s="42">
        <f t="shared" si="1"/>
        <v>3</v>
      </c>
      <c r="K21" s="690">
        <v>3</v>
      </c>
      <c r="L21" s="692"/>
      <c r="M21" s="693"/>
      <c r="N21" s="694"/>
      <c r="O21" s="695"/>
      <c r="P21" s="692"/>
      <c r="Q21" s="693"/>
      <c r="R21" s="694"/>
      <c r="S21" s="695"/>
      <c r="T21" s="692"/>
      <c r="U21" s="693"/>
      <c r="V21" s="691"/>
      <c r="W21" s="43">
        <f t="shared" si="0"/>
        <v>3</v>
      </c>
      <c r="X21" s="682">
        <f>SUM(W21:W23)</f>
        <v>9</v>
      </c>
      <c r="Y21" s="709"/>
    </row>
    <row r="22" spans="2:29" ht="18" thickBot="1">
      <c r="B22" s="683"/>
      <c r="C22" s="684"/>
      <c r="D22" s="688"/>
      <c r="E22" s="49" t="s">
        <v>12</v>
      </c>
      <c r="F22" s="710" t="s">
        <v>258</v>
      </c>
      <c r="G22" s="711"/>
      <c r="H22" s="45">
        <v>4</v>
      </c>
      <c r="I22" s="46" t="s">
        <v>340</v>
      </c>
      <c r="J22" s="150">
        <f t="shared" ref="J22" si="3">SUM(K22:V22)</f>
        <v>3</v>
      </c>
      <c r="K22" s="710"/>
      <c r="L22" s="712"/>
      <c r="M22" s="713"/>
      <c r="N22" s="714"/>
      <c r="O22" s="715">
        <v>3</v>
      </c>
      <c r="P22" s="712"/>
      <c r="Q22" s="713"/>
      <c r="R22" s="714"/>
      <c r="S22" s="715"/>
      <c r="T22" s="712"/>
      <c r="U22" s="713"/>
      <c r="V22" s="711"/>
      <c r="W22" s="196">
        <f>SUM(K22:V22)</f>
        <v>3</v>
      </c>
      <c r="X22" s="684"/>
      <c r="Y22" s="709"/>
    </row>
    <row r="23" spans="2:29" ht="18" thickBot="1">
      <c r="B23" s="683"/>
      <c r="C23" s="684"/>
      <c r="D23" s="688"/>
      <c r="E23" s="44" t="s">
        <v>346</v>
      </c>
      <c r="F23" s="710" t="s">
        <v>261</v>
      </c>
      <c r="G23" s="711"/>
      <c r="H23" s="45">
        <v>4</v>
      </c>
      <c r="I23" s="46" t="s">
        <v>343</v>
      </c>
      <c r="J23" s="150">
        <f t="shared" si="1"/>
        <v>3</v>
      </c>
      <c r="K23" s="710"/>
      <c r="L23" s="712"/>
      <c r="M23" s="713"/>
      <c r="N23" s="714"/>
      <c r="O23" s="715"/>
      <c r="P23" s="712"/>
      <c r="Q23" s="713">
        <v>3</v>
      </c>
      <c r="R23" s="714"/>
      <c r="S23" s="715"/>
      <c r="T23" s="712"/>
      <c r="U23" s="713"/>
      <c r="V23" s="711"/>
      <c r="W23" s="48">
        <f t="shared" si="0"/>
        <v>3</v>
      </c>
      <c r="X23" s="684"/>
      <c r="Y23" s="709"/>
    </row>
    <row r="24" spans="2:29" ht="16.5" customHeight="1" thickBot="1">
      <c r="B24" s="683"/>
      <c r="C24" s="684"/>
      <c r="D24" s="687" t="s">
        <v>8</v>
      </c>
      <c r="E24" s="39" t="s">
        <v>346</v>
      </c>
      <c r="F24" s="690" t="s">
        <v>347</v>
      </c>
      <c r="G24" s="691"/>
      <c r="H24" s="40">
        <v>3</v>
      </c>
      <c r="I24" s="54" t="s">
        <v>348</v>
      </c>
      <c r="J24" s="170">
        <f t="shared" si="1"/>
        <v>2</v>
      </c>
      <c r="K24" s="690">
        <v>2</v>
      </c>
      <c r="L24" s="692"/>
      <c r="M24" s="693"/>
      <c r="N24" s="694"/>
      <c r="O24" s="695"/>
      <c r="P24" s="692"/>
      <c r="Q24" s="693"/>
      <c r="R24" s="694"/>
      <c r="S24" s="695"/>
      <c r="T24" s="692"/>
      <c r="U24" s="693"/>
      <c r="V24" s="691"/>
      <c r="W24" s="43">
        <f>SUM(K24:V24)</f>
        <v>2</v>
      </c>
      <c r="X24" s="726">
        <f>SUM(W24:W28)</f>
        <v>8</v>
      </c>
      <c r="Y24" s="709">
        <v>8</v>
      </c>
    </row>
    <row r="25" spans="2:29" ht="18" thickBot="1">
      <c r="B25" s="683"/>
      <c r="C25" s="684"/>
      <c r="D25" s="688"/>
      <c r="E25" s="44" t="s">
        <v>346</v>
      </c>
      <c r="F25" s="710" t="s">
        <v>349</v>
      </c>
      <c r="G25" s="711"/>
      <c r="H25" s="45">
        <v>3</v>
      </c>
      <c r="I25" s="46" t="s">
        <v>348</v>
      </c>
      <c r="J25" s="47">
        <f t="shared" si="1"/>
        <v>2</v>
      </c>
      <c r="K25" s="710"/>
      <c r="L25" s="712"/>
      <c r="M25" s="713">
        <v>2</v>
      </c>
      <c r="N25" s="714"/>
      <c r="O25" s="715"/>
      <c r="P25" s="712"/>
      <c r="Q25" s="713"/>
      <c r="R25" s="714"/>
      <c r="S25" s="715"/>
      <c r="T25" s="712"/>
      <c r="U25" s="713"/>
      <c r="V25" s="711"/>
      <c r="W25" s="48">
        <f t="shared" ref="W25:W28" si="4">SUM(K25:V25)</f>
        <v>2</v>
      </c>
      <c r="X25" s="727"/>
      <c r="Y25" s="709"/>
    </row>
    <row r="26" spans="2:29" ht="18" thickBot="1">
      <c r="B26" s="683"/>
      <c r="C26" s="684"/>
      <c r="D26" s="688"/>
      <c r="E26" s="44" t="s">
        <v>341</v>
      </c>
      <c r="F26" s="710" t="s">
        <v>364</v>
      </c>
      <c r="G26" s="711"/>
      <c r="H26" s="45">
        <v>2</v>
      </c>
      <c r="I26" s="46" t="s">
        <v>350</v>
      </c>
      <c r="J26" s="47">
        <f t="shared" si="1"/>
        <v>1</v>
      </c>
      <c r="K26" s="710"/>
      <c r="L26" s="712"/>
      <c r="M26" s="713"/>
      <c r="N26" s="714"/>
      <c r="O26" s="715">
        <v>1</v>
      </c>
      <c r="P26" s="712"/>
      <c r="Q26" s="713"/>
      <c r="R26" s="714"/>
      <c r="S26" s="715"/>
      <c r="T26" s="712"/>
      <c r="U26" s="713"/>
      <c r="V26" s="711"/>
      <c r="W26" s="48">
        <f t="shared" si="4"/>
        <v>1</v>
      </c>
      <c r="X26" s="727"/>
      <c r="Y26" s="709"/>
    </row>
    <row r="27" spans="2:29" ht="18" thickBot="1">
      <c r="B27" s="683"/>
      <c r="C27" s="684"/>
      <c r="D27" s="688"/>
      <c r="E27" s="44" t="s">
        <v>341</v>
      </c>
      <c r="F27" s="710" t="s">
        <v>515</v>
      </c>
      <c r="G27" s="711"/>
      <c r="H27" s="45">
        <v>3</v>
      </c>
      <c r="I27" s="46" t="s">
        <v>348</v>
      </c>
      <c r="J27" s="47">
        <f t="shared" si="1"/>
        <v>2</v>
      </c>
      <c r="K27" s="710"/>
      <c r="L27" s="712"/>
      <c r="M27" s="713"/>
      <c r="N27" s="714"/>
      <c r="O27" s="715"/>
      <c r="P27" s="712"/>
      <c r="Q27" s="713">
        <v>2</v>
      </c>
      <c r="R27" s="714"/>
      <c r="S27" s="715"/>
      <c r="T27" s="712"/>
      <c r="U27" s="713"/>
      <c r="V27" s="711"/>
      <c r="W27" s="48">
        <f t="shared" si="4"/>
        <v>2</v>
      </c>
      <c r="X27" s="727"/>
      <c r="Y27" s="709"/>
    </row>
    <row r="28" spans="2:29" ht="18" thickBot="1">
      <c r="B28" s="683"/>
      <c r="C28" s="684"/>
      <c r="D28" s="689"/>
      <c r="E28" s="53" t="s">
        <v>341</v>
      </c>
      <c r="F28" s="716" t="s">
        <v>516</v>
      </c>
      <c r="G28" s="706"/>
      <c r="H28" s="50">
        <v>2</v>
      </c>
      <c r="I28" s="51" t="s">
        <v>350</v>
      </c>
      <c r="J28" s="52">
        <f t="shared" si="1"/>
        <v>1</v>
      </c>
      <c r="K28" s="716"/>
      <c r="L28" s="704"/>
      <c r="M28" s="705"/>
      <c r="N28" s="717"/>
      <c r="O28" s="703"/>
      <c r="P28" s="704"/>
      <c r="Q28" s="705"/>
      <c r="R28" s="717"/>
      <c r="S28" s="703">
        <v>1</v>
      </c>
      <c r="T28" s="704"/>
      <c r="U28" s="705"/>
      <c r="V28" s="706"/>
      <c r="W28" s="58">
        <f t="shared" si="4"/>
        <v>1</v>
      </c>
      <c r="X28" s="728"/>
      <c r="Y28" s="709"/>
    </row>
    <row r="29" spans="2:29" ht="18" thickBot="1">
      <c r="B29" s="683"/>
      <c r="C29" s="684"/>
      <c r="D29" s="687" t="s">
        <v>28</v>
      </c>
      <c r="E29" s="39" t="s">
        <v>346</v>
      </c>
      <c r="F29" s="690" t="s">
        <v>47</v>
      </c>
      <c r="G29" s="691"/>
      <c r="H29" s="40">
        <v>3</v>
      </c>
      <c r="I29" s="59" t="s">
        <v>348</v>
      </c>
      <c r="J29" s="42">
        <f t="shared" si="1"/>
        <v>3</v>
      </c>
      <c r="K29" s="690"/>
      <c r="L29" s="692"/>
      <c r="M29" s="693"/>
      <c r="N29" s="694"/>
      <c r="O29" s="695">
        <v>3</v>
      </c>
      <c r="P29" s="692"/>
      <c r="Q29" s="693"/>
      <c r="R29" s="694"/>
      <c r="S29" s="695"/>
      <c r="T29" s="692"/>
      <c r="U29" s="693"/>
      <c r="V29" s="691"/>
      <c r="W29" s="729">
        <f>SUM(K29:V30)</f>
        <v>6</v>
      </c>
      <c r="X29" s="730"/>
      <c r="Y29" s="709">
        <v>6</v>
      </c>
    </row>
    <row r="30" spans="2:29" ht="18" thickBot="1">
      <c r="B30" s="683"/>
      <c r="C30" s="684"/>
      <c r="D30" s="688"/>
      <c r="E30" s="49" t="s">
        <v>341</v>
      </c>
      <c r="F30" s="716" t="s">
        <v>285</v>
      </c>
      <c r="G30" s="706"/>
      <c r="H30" s="45">
        <v>3</v>
      </c>
      <c r="I30" s="46" t="s">
        <v>348</v>
      </c>
      <c r="J30" s="172">
        <f t="shared" si="1"/>
        <v>3</v>
      </c>
      <c r="K30" s="710"/>
      <c r="L30" s="712"/>
      <c r="M30" s="713"/>
      <c r="N30" s="714"/>
      <c r="O30" s="715"/>
      <c r="P30" s="712"/>
      <c r="Q30" s="713">
        <v>3</v>
      </c>
      <c r="R30" s="714"/>
      <c r="S30" s="715"/>
      <c r="T30" s="712"/>
      <c r="U30" s="713"/>
      <c r="V30" s="711"/>
      <c r="W30" s="731"/>
      <c r="X30" s="732"/>
      <c r="Y30" s="709"/>
    </row>
    <row r="31" spans="2:29" ht="16.5" customHeight="1" thickBot="1">
      <c r="B31" s="683"/>
      <c r="C31" s="684"/>
      <c r="D31" s="733" t="s">
        <v>351</v>
      </c>
      <c r="E31" s="39" t="s">
        <v>346</v>
      </c>
      <c r="F31" s="690" t="s">
        <v>544</v>
      </c>
      <c r="G31" s="691"/>
      <c r="H31" s="40">
        <v>4</v>
      </c>
      <c r="I31" s="54" t="s">
        <v>343</v>
      </c>
      <c r="J31" s="170">
        <f t="shared" si="1"/>
        <v>3</v>
      </c>
      <c r="K31" s="690">
        <v>3</v>
      </c>
      <c r="L31" s="692"/>
      <c r="M31" s="693"/>
      <c r="N31" s="694"/>
      <c r="O31" s="695"/>
      <c r="P31" s="692"/>
      <c r="Q31" s="693"/>
      <c r="R31" s="694"/>
      <c r="S31" s="695"/>
      <c r="T31" s="692"/>
      <c r="U31" s="693"/>
      <c r="V31" s="691"/>
      <c r="W31" s="729">
        <f>SUM(K31:V33)</f>
        <v>9</v>
      </c>
      <c r="X31" s="730"/>
      <c r="Y31" s="709">
        <v>8</v>
      </c>
    </row>
    <row r="32" spans="2:29" ht="27.6" customHeight="1" thickBot="1">
      <c r="B32" s="683"/>
      <c r="C32" s="684"/>
      <c r="D32" s="734"/>
      <c r="E32" s="49" t="s">
        <v>341</v>
      </c>
      <c r="F32" s="710" t="s">
        <v>608</v>
      </c>
      <c r="G32" s="711"/>
      <c r="H32" s="45">
        <v>4</v>
      </c>
      <c r="I32" s="46" t="s">
        <v>343</v>
      </c>
      <c r="J32" s="47">
        <f t="shared" si="1"/>
        <v>3</v>
      </c>
      <c r="K32" s="710">
        <v>3</v>
      </c>
      <c r="L32" s="712"/>
      <c r="M32" s="713"/>
      <c r="N32" s="714"/>
      <c r="O32" s="715"/>
      <c r="P32" s="712"/>
      <c r="Q32" s="713"/>
      <c r="R32" s="714"/>
      <c r="S32" s="715"/>
      <c r="T32" s="712"/>
      <c r="U32" s="713"/>
      <c r="V32" s="711"/>
      <c r="W32" s="731"/>
      <c r="X32" s="732"/>
      <c r="Y32" s="709"/>
    </row>
    <row r="33" spans="2:29" ht="18" customHeight="1" thickBot="1">
      <c r="B33" s="685"/>
      <c r="C33" s="686"/>
      <c r="D33" s="734"/>
      <c r="E33" s="49" t="s">
        <v>346</v>
      </c>
      <c r="F33" s="747" t="s">
        <v>518</v>
      </c>
      <c r="G33" s="748"/>
      <c r="H33" s="50">
        <v>4</v>
      </c>
      <c r="I33" s="51" t="s">
        <v>343</v>
      </c>
      <c r="J33" s="47">
        <f t="shared" ref="J33" si="5">SUM(K33,K33:V33)</f>
        <v>3</v>
      </c>
      <c r="K33" s="716"/>
      <c r="L33" s="704"/>
      <c r="M33" s="705"/>
      <c r="N33" s="717"/>
      <c r="O33" s="715"/>
      <c r="P33" s="712"/>
      <c r="Q33" s="713"/>
      <c r="R33" s="714"/>
      <c r="S33" s="715">
        <v>3</v>
      </c>
      <c r="T33" s="712"/>
      <c r="U33" s="713"/>
      <c r="V33" s="711"/>
      <c r="W33" s="731"/>
      <c r="X33" s="732"/>
      <c r="Y33" s="709"/>
    </row>
    <row r="34" spans="2:29" ht="24.75" customHeight="1" thickBot="1">
      <c r="B34" s="739" t="s">
        <v>358</v>
      </c>
      <c r="C34" s="740"/>
      <c r="D34" s="740"/>
      <c r="E34" s="740"/>
      <c r="F34" s="740"/>
      <c r="G34" s="741"/>
      <c r="H34" s="159">
        <f>SUM(H9:H33)</f>
        <v>89</v>
      </c>
      <c r="I34" s="18"/>
      <c r="J34" s="168">
        <f>SUM(J9:J33)</f>
        <v>68</v>
      </c>
      <c r="K34" s="742">
        <f>SUM(K9:L33)</f>
        <v>26</v>
      </c>
      <c r="L34" s="743"/>
      <c r="M34" s="743">
        <f>SUM(M9:N33)</f>
        <v>17</v>
      </c>
      <c r="N34" s="744"/>
      <c r="O34" s="745">
        <f>SUM(O9:P33)</f>
        <v>10</v>
      </c>
      <c r="P34" s="743"/>
      <c r="Q34" s="743">
        <f>SUM(Q9:R33)</f>
        <v>11</v>
      </c>
      <c r="R34" s="746"/>
      <c r="S34" s="758">
        <f>SUM(S9:T33)</f>
        <v>4</v>
      </c>
      <c r="T34" s="743"/>
      <c r="U34" s="743">
        <f>SUM(U9:V33)</f>
        <v>0</v>
      </c>
      <c r="V34" s="759"/>
      <c r="W34" s="739">
        <f>SUM(K34:V34)</f>
        <v>68</v>
      </c>
      <c r="X34" s="758"/>
      <c r="Y34" s="168">
        <f>SUM(Y9:Y33)</f>
        <v>64</v>
      </c>
      <c r="AA34" s="735" t="b">
        <f>W34&gt;=Y34</f>
        <v>1</v>
      </c>
      <c r="AB34" s="736"/>
    </row>
    <row r="35" spans="2:29" ht="17.25" customHeight="1">
      <c r="B35" s="737" t="s">
        <v>352</v>
      </c>
      <c r="C35" s="738"/>
      <c r="D35" s="60" t="s">
        <v>68</v>
      </c>
      <c r="E35" s="61" t="s">
        <v>353</v>
      </c>
      <c r="F35" s="750" t="s">
        <v>546</v>
      </c>
      <c r="G35" s="751"/>
      <c r="H35" s="40" t="s">
        <v>522</v>
      </c>
      <c r="I35" s="198" t="s">
        <v>522</v>
      </c>
      <c r="J35" s="42">
        <v>3</v>
      </c>
      <c r="K35" s="849">
        <v>3</v>
      </c>
      <c r="L35" s="850"/>
      <c r="M35" s="850"/>
      <c r="N35" s="850"/>
      <c r="O35" s="850"/>
      <c r="P35" s="850"/>
      <c r="Q35" s="850"/>
      <c r="R35" s="850"/>
      <c r="S35" s="850"/>
      <c r="T35" s="850"/>
      <c r="U35" s="850"/>
      <c r="V35" s="851"/>
      <c r="W35" s="761">
        <f t="shared" ref="W35:W37" si="6">SUM(K35:V35)</f>
        <v>3</v>
      </c>
      <c r="X35" s="762"/>
      <c r="Y35" s="749">
        <v>80</v>
      </c>
    </row>
    <row r="36" spans="2:29" ht="17.25" customHeight="1">
      <c r="B36" s="737"/>
      <c r="C36" s="738"/>
      <c r="D36" s="60" t="s">
        <v>71</v>
      </c>
      <c r="E36" s="61" t="s">
        <v>353</v>
      </c>
      <c r="F36" s="197" t="s">
        <v>547</v>
      </c>
      <c r="G36" s="852" t="s">
        <v>548</v>
      </c>
      <c r="H36" s="180" t="s">
        <v>522</v>
      </c>
      <c r="I36" s="199" t="s">
        <v>522</v>
      </c>
      <c r="J36" s="854">
        <v>4</v>
      </c>
      <c r="K36" s="710"/>
      <c r="L36" s="712"/>
      <c r="M36" s="713"/>
      <c r="N36" s="712"/>
      <c r="O36" s="782">
        <v>4</v>
      </c>
      <c r="P36" s="781"/>
      <c r="Q36" s="713"/>
      <c r="R36" s="712"/>
      <c r="S36" s="713"/>
      <c r="T36" s="712"/>
      <c r="U36" s="713"/>
      <c r="V36" s="711"/>
      <c r="W36" s="761">
        <f t="shared" si="6"/>
        <v>4</v>
      </c>
      <c r="X36" s="762"/>
      <c r="Y36" s="749"/>
    </row>
    <row r="37" spans="2:29" ht="17.25" customHeight="1">
      <c r="B37" s="737"/>
      <c r="C37" s="738"/>
      <c r="D37" s="60" t="s">
        <v>71</v>
      </c>
      <c r="E37" s="61" t="s">
        <v>353</v>
      </c>
      <c r="F37" s="197" t="s">
        <v>549</v>
      </c>
      <c r="G37" s="853"/>
      <c r="H37" s="180" t="s">
        <v>522</v>
      </c>
      <c r="I37" s="199" t="s">
        <v>522</v>
      </c>
      <c r="J37" s="855"/>
      <c r="K37" s="710"/>
      <c r="L37" s="712"/>
      <c r="M37" s="713"/>
      <c r="N37" s="712"/>
      <c r="O37" s="856"/>
      <c r="P37" s="857"/>
      <c r="Q37" s="713"/>
      <c r="R37" s="712"/>
      <c r="S37" s="713"/>
      <c r="T37" s="712"/>
      <c r="U37" s="713"/>
      <c r="V37" s="711"/>
      <c r="W37" s="761">
        <f t="shared" si="6"/>
        <v>0</v>
      </c>
      <c r="X37" s="762"/>
      <c r="Y37" s="749"/>
    </row>
    <row r="38" spans="2:29" ht="17.25" customHeight="1">
      <c r="B38" s="737"/>
      <c r="C38" s="738"/>
      <c r="D38" s="60" t="s">
        <v>71</v>
      </c>
      <c r="E38" s="182" t="s">
        <v>353</v>
      </c>
      <c r="F38" s="884" t="s">
        <v>550</v>
      </c>
      <c r="G38" s="798"/>
      <c r="H38" s="180" t="s">
        <v>522</v>
      </c>
      <c r="I38" s="199" t="s">
        <v>522</v>
      </c>
      <c r="J38" s="150">
        <v>3</v>
      </c>
      <c r="K38" s="710"/>
      <c r="L38" s="712"/>
      <c r="M38" s="713"/>
      <c r="N38" s="712"/>
      <c r="O38" s="713"/>
      <c r="P38" s="712"/>
      <c r="Q38" s="713">
        <v>3</v>
      </c>
      <c r="R38" s="712"/>
      <c r="S38" s="713"/>
      <c r="T38" s="712"/>
      <c r="U38" s="713"/>
      <c r="V38" s="711"/>
      <c r="W38" s="761">
        <f t="shared" ref="W38:W39" si="7">SUM(K38:V38)</f>
        <v>3</v>
      </c>
      <c r="X38" s="762"/>
      <c r="Y38" s="749"/>
    </row>
    <row r="39" spans="2:29" ht="17.25" customHeight="1" thickBot="1">
      <c r="B39" s="737"/>
      <c r="C39" s="738"/>
      <c r="D39" s="60" t="s">
        <v>71</v>
      </c>
      <c r="E39" s="182" t="s">
        <v>354</v>
      </c>
      <c r="F39" s="847" t="s">
        <v>551</v>
      </c>
      <c r="G39" s="848"/>
      <c r="H39" s="56" t="s">
        <v>522</v>
      </c>
      <c r="I39" s="200" t="s">
        <v>522</v>
      </c>
      <c r="J39" s="171">
        <v>8</v>
      </c>
      <c r="K39" s="716"/>
      <c r="L39" s="704"/>
      <c r="M39" s="705"/>
      <c r="N39" s="704"/>
      <c r="O39" s="705">
        <v>4</v>
      </c>
      <c r="P39" s="704"/>
      <c r="Q39" s="705">
        <v>4</v>
      </c>
      <c r="R39" s="704"/>
      <c r="S39" s="705"/>
      <c r="T39" s="704"/>
      <c r="U39" s="705"/>
      <c r="V39" s="706"/>
      <c r="W39" s="761">
        <f t="shared" si="7"/>
        <v>8</v>
      </c>
      <c r="X39" s="762"/>
      <c r="Y39" s="749"/>
    </row>
    <row r="40" spans="2:29" ht="20.25" customHeight="1">
      <c r="B40" s="799" t="s">
        <v>154</v>
      </c>
      <c r="C40" s="801" t="s">
        <v>593</v>
      </c>
      <c r="D40" s="178" t="s">
        <v>68</v>
      </c>
      <c r="E40" s="65" t="s">
        <v>353</v>
      </c>
      <c r="F40" s="778" t="s">
        <v>523</v>
      </c>
      <c r="G40" s="779"/>
      <c r="H40" s="40" t="s">
        <v>522</v>
      </c>
      <c r="I40" s="179" t="s">
        <v>524</v>
      </c>
      <c r="J40" s="42">
        <f>SUM(K40:V40)</f>
        <v>3</v>
      </c>
      <c r="K40" s="690"/>
      <c r="L40" s="692"/>
      <c r="M40" s="693">
        <v>3</v>
      </c>
      <c r="N40" s="692"/>
      <c r="O40" s="775"/>
      <c r="P40" s="692"/>
      <c r="Q40" s="693"/>
      <c r="R40" s="775"/>
      <c r="S40" s="693"/>
      <c r="T40" s="692"/>
      <c r="U40" s="693"/>
      <c r="V40" s="691"/>
      <c r="W40" s="835">
        <f>SUM(K40:V40)</f>
        <v>3</v>
      </c>
      <c r="X40" s="836"/>
      <c r="Y40" s="749"/>
    </row>
    <row r="41" spans="2:29" ht="20.25" customHeight="1">
      <c r="B41" s="800"/>
      <c r="C41" s="802"/>
      <c r="D41" s="63" t="s">
        <v>68</v>
      </c>
      <c r="E41" s="68" t="s">
        <v>354</v>
      </c>
      <c r="F41" s="776" t="s">
        <v>525</v>
      </c>
      <c r="G41" s="777"/>
      <c r="H41" s="180" t="s">
        <v>522</v>
      </c>
      <c r="I41" s="181" t="s">
        <v>524</v>
      </c>
      <c r="J41" s="47">
        <f>SUM(K41:V41)</f>
        <v>10</v>
      </c>
      <c r="K41" s="710"/>
      <c r="L41" s="712"/>
      <c r="M41" s="713">
        <v>4</v>
      </c>
      <c r="N41" s="712"/>
      <c r="O41" s="841">
        <v>6</v>
      </c>
      <c r="P41" s="712"/>
      <c r="Q41" s="713"/>
      <c r="R41" s="841"/>
      <c r="S41" s="713"/>
      <c r="T41" s="712"/>
      <c r="U41" s="713"/>
      <c r="V41" s="711"/>
      <c r="W41" s="763">
        <f>SUM(K41:V41)</f>
        <v>10</v>
      </c>
      <c r="X41" s="764"/>
      <c r="Y41" s="749"/>
    </row>
    <row r="42" spans="2:29" ht="16.5" customHeight="1">
      <c r="B42" s="800"/>
      <c r="C42" s="802"/>
      <c r="D42" s="62" t="s">
        <v>68</v>
      </c>
      <c r="E42" s="68" t="s">
        <v>354</v>
      </c>
      <c r="F42" s="776" t="s">
        <v>526</v>
      </c>
      <c r="G42" s="777"/>
      <c r="H42" s="180" t="s">
        <v>522</v>
      </c>
      <c r="I42" s="181" t="s">
        <v>524</v>
      </c>
      <c r="J42" s="150">
        <f t="shared" ref="J42:J47" si="8">SUM(K42:V42)</f>
        <v>10</v>
      </c>
      <c r="K42" s="710"/>
      <c r="L42" s="712"/>
      <c r="M42" s="713">
        <v>5</v>
      </c>
      <c r="N42" s="841"/>
      <c r="O42" s="713">
        <v>5</v>
      </c>
      <c r="P42" s="712"/>
      <c r="Q42" s="713"/>
      <c r="R42" s="712"/>
      <c r="S42" s="841"/>
      <c r="T42" s="712"/>
      <c r="U42" s="713"/>
      <c r="V42" s="711"/>
      <c r="W42" s="761">
        <f t="shared" ref="W42:W53" si="9">SUM(K42:V42)</f>
        <v>10</v>
      </c>
      <c r="X42" s="762"/>
      <c r="Y42" s="749"/>
    </row>
    <row r="43" spans="2:29" ht="16.5" customHeight="1">
      <c r="B43" s="800"/>
      <c r="C43" s="802"/>
      <c r="D43" s="62" t="s">
        <v>68</v>
      </c>
      <c r="E43" s="68" t="s">
        <v>354</v>
      </c>
      <c r="F43" s="776" t="s">
        <v>527</v>
      </c>
      <c r="G43" s="777"/>
      <c r="H43" s="180" t="s">
        <v>522</v>
      </c>
      <c r="I43" s="181" t="s">
        <v>524</v>
      </c>
      <c r="J43" s="172">
        <f t="shared" si="8"/>
        <v>8</v>
      </c>
      <c r="K43" s="710"/>
      <c r="L43" s="712"/>
      <c r="M43" s="713"/>
      <c r="N43" s="712"/>
      <c r="O43" s="841"/>
      <c r="P43" s="712"/>
      <c r="Q43" s="713">
        <v>8</v>
      </c>
      <c r="R43" s="841"/>
      <c r="S43" s="713"/>
      <c r="T43" s="712"/>
      <c r="U43" s="713"/>
      <c r="V43" s="711"/>
      <c r="W43" s="761">
        <f t="shared" si="9"/>
        <v>8</v>
      </c>
      <c r="X43" s="762"/>
      <c r="Y43" s="749"/>
    </row>
    <row r="44" spans="2:29">
      <c r="B44" s="800"/>
      <c r="C44" s="802"/>
      <c r="D44" s="62" t="s">
        <v>68</v>
      </c>
      <c r="E44" s="68" t="s">
        <v>354</v>
      </c>
      <c r="F44" s="776" t="s">
        <v>528</v>
      </c>
      <c r="G44" s="777"/>
      <c r="H44" s="180" t="s">
        <v>522</v>
      </c>
      <c r="I44" s="181" t="s">
        <v>524</v>
      </c>
      <c r="J44" s="47">
        <f t="shared" si="8"/>
        <v>13</v>
      </c>
      <c r="K44" s="710"/>
      <c r="L44" s="712"/>
      <c r="M44" s="713"/>
      <c r="N44" s="841"/>
      <c r="O44" s="713"/>
      <c r="P44" s="712"/>
      <c r="Q44" s="713">
        <v>3</v>
      </c>
      <c r="R44" s="841"/>
      <c r="S44" s="713">
        <v>10</v>
      </c>
      <c r="T44" s="712"/>
      <c r="U44" s="713"/>
      <c r="V44" s="711"/>
      <c r="W44" s="837">
        <f t="shared" si="9"/>
        <v>13</v>
      </c>
      <c r="X44" s="838"/>
      <c r="Y44" s="749"/>
    </row>
    <row r="45" spans="2:29">
      <c r="B45" s="800"/>
      <c r="C45" s="802"/>
      <c r="D45" s="60" t="s">
        <v>68</v>
      </c>
      <c r="E45" s="182" t="s">
        <v>354</v>
      </c>
      <c r="F45" s="776" t="s">
        <v>529</v>
      </c>
      <c r="G45" s="777"/>
      <c r="H45" s="180" t="s">
        <v>522</v>
      </c>
      <c r="I45" s="181" t="s">
        <v>524</v>
      </c>
      <c r="J45" s="172">
        <f t="shared" si="8"/>
        <v>18</v>
      </c>
      <c r="K45" s="780"/>
      <c r="L45" s="781"/>
      <c r="M45" s="782"/>
      <c r="N45" s="858"/>
      <c r="O45" s="713"/>
      <c r="P45" s="712"/>
      <c r="Q45" s="713"/>
      <c r="R45" s="712"/>
      <c r="S45" s="858">
        <v>7</v>
      </c>
      <c r="T45" s="781"/>
      <c r="U45" s="782">
        <v>11</v>
      </c>
      <c r="V45" s="787"/>
      <c r="W45" s="761">
        <f t="shared" si="9"/>
        <v>18</v>
      </c>
      <c r="X45" s="762"/>
      <c r="Y45" s="749"/>
    </row>
    <row r="46" spans="2:29">
      <c r="B46" s="800"/>
      <c r="C46" s="802"/>
      <c r="D46" s="62" t="s">
        <v>68</v>
      </c>
      <c r="E46" s="61" t="s">
        <v>354</v>
      </c>
      <c r="F46" s="776" t="s">
        <v>530</v>
      </c>
      <c r="G46" s="777"/>
      <c r="H46" s="45" t="s">
        <v>522</v>
      </c>
      <c r="I46" s="181" t="s">
        <v>522</v>
      </c>
      <c r="J46" s="47">
        <f t="shared" ref="J46" si="10">SUM(K46:V46)</f>
        <v>15</v>
      </c>
      <c r="K46" s="710"/>
      <c r="L46" s="712"/>
      <c r="M46" s="713"/>
      <c r="N46" s="841"/>
      <c r="O46" s="713"/>
      <c r="P46" s="712"/>
      <c r="Q46" s="713"/>
      <c r="R46" s="841"/>
      <c r="S46" s="713">
        <v>8</v>
      </c>
      <c r="T46" s="712"/>
      <c r="U46" s="713">
        <v>7</v>
      </c>
      <c r="V46" s="711"/>
      <c r="W46" s="837">
        <f t="shared" ref="W46:W47" si="11">SUM(K46:V46)</f>
        <v>15</v>
      </c>
      <c r="X46" s="838"/>
      <c r="Y46" s="749"/>
    </row>
    <row r="47" spans="2:29" ht="18" thickBot="1">
      <c r="B47" s="800"/>
      <c r="C47" s="803"/>
      <c r="D47" s="185" t="s">
        <v>155</v>
      </c>
      <c r="E47" s="186" t="s">
        <v>354</v>
      </c>
      <c r="F47" s="863" t="s">
        <v>557</v>
      </c>
      <c r="G47" s="864"/>
      <c r="H47" s="56" t="s">
        <v>522</v>
      </c>
      <c r="I47" s="184" t="s">
        <v>522</v>
      </c>
      <c r="J47" s="172">
        <f t="shared" si="8"/>
        <v>11</v>
      </c>
      <c r="K47" s="865"/>
      <c r="L47" s="866"/>
      <c r="M47" s="859"/>
      <c r="N47" s="867"/>
      <c r="O47" s="705"/>
      <c r="P47" s="704"/>
      <c r="Q47" s="859"/>
      <c r="R47" s="867"/>
      <c r="S47" s="705"/>
      <c r="T47" s="704"/>
      <c r="U47" s="859">
        <v>11</v>
      </c>
      <c r="V47" s="860"/>
      <c r="W47" s="761">
        <f t="shared" si="11"/>
        <v>11</v>
      </c>
      <c r="X47" s="762"/>
      <c r="Y47" s="749"/>
      <c r="AC47" s="157"/>
    </row>
    <row r="48" spans="2:29" ht="17.399999999999999" customHeight="1">
      <c r="B48" s="800"/>
      <c r="C48" s="801" t="s">
        <v>897</v>
      </c>
      <c r="D48" s="65" t="s">
        <v>71</v>
      </c>
      <c r="E48" s="65" t="s">
        <v>353</v>
      </c>
      <c r="F48" s="861" t="s">
        <v>552</v>
      </c>
      <c r="G48" s="862"/>
      <c r="H48" s="202" t="s">
        <v>522</v>
      </c>
      <c r="I48" s="198" t="s">
        <v>522</v>
      </c>
      <c r="J48" s="42">
        <f>SUM(K48:V48)</f>
        <v>4</v>
      </c>
      <c r="K48" s="849"/>
      <c r="L48" s="850"/>
      <c r="M48" s="850">
        <v>4</v>
      </c>
      <c r="N48" s="850"/>
      <c r="O48" s="850"/>
      <c r="P48" s="850"/>
      <c r="Q48" s="850"/>
      <c r="R48" s="850"/>
      <c r="S48" s="850"/>
      <c r="T48" s="850"/>
      <c r="U48" s="850"/>
      <c r="V48" s="851"/>
      <c r="W48" s="835">
        <f t="shared" si="9"/>
        <v>4</v>
      </c>
      <c r="X48" s="836"/>
      <c r="Y48" s="749"/>
      <c r="AC48" s="157"/>
    </row>
    <row r="49" spans="2:29">
      <c r="B49" s="800"/>
      <c r="C49" s="802"/>
      <c r="D49" s="61" t="s">
        <v>71</v>
      </c>
      <c r="E49" s="156" t="s">
        <v>353</v>
      </c>
      <c r="F49" s="868" t="s">
        <v>553</v>
      </c>
      <c r="G49" s="869"/>
      <c r="H49" s="203" t="s">
        <v>522</v>
      </c>
      <c r="I49" s="199" t="s">
        <v>522</v>
      </c>
      <c r="J49" s="47">
        <f>SUM(K49:V49)</f>
        <v>4</v>
      </c>
      <c r="K49" s="710"/>
      <c r="L49" s="712"/>
      <c r="M49" s="713">
        <v>4</v>
      </c>
      <c r="N49" s="712"/>
      <c r="O49" s="713"/>
      <c r="P49" s="712"/>
      <c r="Q49" s="713"/>
      <c r="R49" s="712"/>
      <c r="S49" s="713"/>
      <c r="T49" s="712"/>
      <c r="U49" s="713"/>
      <c r="V49" s="711"/>
      <c r="W49" s="731">
        <f t="shared" si="9"/>
        <v>4</v>
      </c>
      <c r="X49" s="732"/>
      <c r="Y49" s="749"/>
      <c r="AC49" s="157"/>
    </row>
    <row r="50" spans="2:29">
      <c r="B50" s="800"/>
      <c r="C50" s="802"/>
      <c r="D50" s="156" t="s">
        <v>71</v>
      </c>
      <c r="E50" s="182" t="s">
        <v>353</v>
      </c>
      <c r="F50" s="876" t="s">
        <v>554</v>
      </c>
      <c r="G50" s="877"/>
      <c r="H50" s="203" t="s">
        <v>522</v>
      </c>
      <c r="I50" s="199" t="s">
        <v>522</v>
      </c>
      <c r="J50" s="150">
        <f t="shared" ref="J50:J55" si="12">SUM(K50:V50)</f>
        <v>4</v>
      </c>
      <c r="K50" s="872"/>
      <c r="L50" s="873"/>
      <c r="M50" s="873">
        <v>4</v>
      </c>
      <c r="N50" s="873"/>
      <c r="O50" s="873"/>
      <c r="P50" s="873"/>
      <c r="Q50" s="873"/>
      <c r="R50" s="873"/>
      <c r="S50" s="873"/>
      <c r="T50" s="873"/>
      <c r="U50" s="873"/>
      <c r="V50" s="875"/>
      <c r="W50" s="761">
        <f t="shared" si="9"/>
        <v>4</v>
      </c>
      <c r="X50" s="762"/>
      <c r="Y50" s="749"/>
      <c r="AC50" s="157"/>
    </row>
    <row r="51" spans="2:29">
      <c r="B51" s="800"/>
      <c r="C51" s="802"/>
      <c r="D51" s="182" t="s">
        <v>71</v>
      </c>
      <c r="E51" s="182" t="s">
        <v>354</v>
      </c>
      <c r="F51" s="870" t="s">
        <v>555</v>
      </c>
      <c r="G51" s="871"/>
      <c r="H51" s="203" t="s">
        <v>522</v>
      </c>
      <c r="I51" s="199" t="s">
        <v>522</v>
      </c>
      <c r="J51" s="149">
        <f t="shared" si="12"/>
        <v>6</v>
      </c>
      <c r="K51" s="872"/>
      <c r="L51" s="873"/>
      <c r="M51" s="873"/>
      <c r="N51" s="873"/>
      <c r="O51" s="874">
        <v>3</v>
      </c>
      <c r="P51" s="874"/>
      <c r="Q51" s="874">
        <v>3</v>
      </c>
      <c r="R51" s="874"/>
      <c r="S51" s="874"/>
      <c r="T51" s="874"/>
      <c r="U51" s="873"/>
      <c r="V51" s="875"/>
      <c r="W51" s="731">
        <f t="shared" si="9"/>
        <v>6</v>
      </c>
      <c r="X51" s="732"/>
      <c r="Y51" s="749"/>
      <c r="AC51" s="157"/>
    </row>
    <row r="52" spans="2:29">
      <c r="B52" s="800"/>
      <c r="C52" s="802"/>
      <c r="D52" s="182" t="s">
        <v>71</v>
      </c>
      <c r="E52" s="182" t="s">
        <v>354</v>
      </c>
      <c r="F52" s="870" t="s">
        <v>556</v>
      </c>
      <c r="G52" s="871"/>
      <c r="H52" s="203" t="s">
        <v>522</v>
      </c>
      <c r="I52" s="199" t="s">
        <v>522</v>
      </c>
      <c r="J52" s="47">
        <f t="shared" si="12"/>
        <v>16</v>
      </c>
      <c r="K52" s="872"/>
      <c r="L52" s="873"/>
      <c r="M52" s="873"/>
      <c r="N52" s="873"/>
      <c r="O52" s="874">
        <v>8</v>
      </c>
      <c r="P52" s="874"/>
      <c r="Q52" s="874">
        <v>8</v>
      </c>
      <c r="R52" s="874"/>
      <c r="S52" s="874"/>
      <c r="T52" s="874"/>
      <c r="U52" s="873"/>
      <c r="V52" s="875"/>
      <c r="W52" s="761">
        <f t="shared" si="9"/>
        <v>16</v>
      </c>
      <c r="X52" s="762"/>
      <c r="Y52" s="749"/>
      <c r="AC52" s="157"/>
    </row>
    <row r="53" spans="2:29">
      <c r="B53" s="800"/>
      <c r="C53" s="802"/>
      <c r="D53" s="61" t="s">
        <v>71</v>
      </c>
      <c r="E53" s="182" t="s">
        <v>354</v>
      </c>
      <c r="F53" s="870" t="s">
        <v>557</v>
      </c>
      <c r="G53" s="871"/>
      <c r="H53" s="45" t="s">
        <v>522</v>
      </c>
      <c r="I53" s="204" t="s">
        <v>522</v>
      </c>
      <c r="J53" s="149">
        <f t="shared" si="12"/>
        <v>19</v>
      </c>
      <c r="K53" s="872"/>
      <c r="L53" s="873"/>
      <c r="M53" s="873"/>
      <c r="N53" s="873"/>
      <c r="O53" s="874"/>
      <c r="P53" s="874"/>
      <c r="Q53" s="874"/>
      <c r="R53" s="874"/>
      <c r="S53" s="874">
        <v>8</v>
      </c>
      <c r="T53" s="874"/>
      <c r="U53" s="873">
        <v>11</v>
      </c>
      <c r="V53" s="875"/>
      <c r="W53" s="761">
        <f t="shared" si="9"/>
        <v>19</v>
      </c>
      <c r="X53" s="762"/>
      <c r="Y53" s="749"/>
      <c r="AC53" s="157"/>
    </row>
    <row r="54" spans="2:29">
      <c r="B54" s="800"/>
      <c r="C54" s="802"/>
      <c r="D54" s="182" t="s">
        <v>68</v>
      </c>
      <c r="E54" s="61" t="s">
        <v>354</v>
      </c>
      <c r="F54" s="878" t="s">
        <v>558</v>
      </c>
      <c r="G54" s="879"/>
      <c r="H54" s="45" t="s">
        <v>522</v>
      </c>
      <c r="I54" s="205" t="s">
        <v>522</v>
      </c>
      <c r="J54" s="47">
        <f t="shared" si="12"/>
        <v>20</v>
      </c>
      <c r="K54" s="872"/>
      <c r="L54" s="873"/>
      <c r="M54" s="873"/>
      <c r="N54" s="873"/>
      <c r="O54" s="873"/>
      <c r="P54" s="873"/>
      <c r="Q54" s="873"/>
      <c r="R54" s="873"/>
      <c r="S54" s="873">
        <v>10</v>
      </c>
      <c r="T54" s="873"/>
      <c r="U54" s="873">
        <v>10</v>
      </c>
      <c r="V54" s="875"/>
      <c r="W54" s="761">
        <f t="shared" ref="W54:W55" si="13">SUM(K54:V54)</f>
        <v>20</v>
      </c>
      <c r="X54" s="762"/>
      <c r="Y54" s="749"/>
      <c r="AC54" s="157"/>
    </row>
    <row r="55" spans="2:29" ht="18" thickBot="1">
      <c r="B55" s="800"/>
      <c r="C55" s="802"/>
      <c r="D55" s="66" t="s">
        <v>71</v>
      </c>
      <c r="E55" s="66" t="s">
        <v>354</v>
      </c>
      <c r="F55" s="899" t="s">
        <v>559</v>
      </c>
      <c r="G55" s="900"/>
      <c r="H55" s="206" t="s">
        <v>522</v>
      </c>
      <c r="I55" s="207" t="s">
        <v>522</v>
      </c>
      <c r="J55" s="52">
        <f t="shared" si="12"/>
        <v>15</v>
      </c>
      <c r="K55" s="886"/>
      <c r="L55" s="887"/>
      <c r="M55" s="887"/>
      <c r="N55" s="887"/>
      <c r="O55" s="887"/>
      <c r="P55" s="887"/>
      <c r="Q55" s="887"/>
      <c r="R55" s="887"/>
      <c r="S55" s="887">
        <v>7</v>
      </c>
      <c r="T55" s="887"/>
      <c r="U55" s="887">
        <v>8</v>
      </c>
      <c r="V55" s="888"/>
      <c r="W55" s="842">
        <f t="shared" si="13"/>
        <v>15</v>
      </c>
      <c r="X55" s="843"/>
      <c r="Y55" s="749"/>
      <c r="AC55" s="157"/>
    </row>
    <row r="56" spans="2:29">
      <c r="B56" s="800"/>
      <c r="C56" s="801" t="s">
        <v>573</v>
      </c>
      <c r="D56" s="208" t="s">
        <v>71</v>
      </c>
      <c r="E56" s="69" t="s">
        <v>353</v>
      </c>
      <c r="F56" s="901" t="s">
        <v>552</v>
      </c>
      <c r="G56" s="902"/>
      <c r="H56" s="40" t="s">
        <v>522</v>
      </c>
      <c r="I56" s="198" t="s">
        <v>522</v>
      </c>
      <c r="J56" s="42">
        <f>SUM(K56:V56)</f>
        <v>4</v>
      </c>
      <c r="K56" s="880"/>
      <c r="L56" s="881"/>
      <c r="M56" s="881">
        <v>4</v>
      </c>
      <c r="N56" s="881"/>
      <c r="O56" s="881"/>
      <c r="P56" s="881"/>
      <c r="Q56" s="881"/>
      <c r="R56" s="881"/>
      <c r="S56" s="881"/>
      <c r="T56" s="881"/>
      <c r="U56" s="881"/>
      <c r="V56" s="885"/>
      <c r="W56" s="837">
        <f t="shared" ref="W56:W61" si="14">SUM(K56:V56)</f>
        <v>4</v>
      </c>
      <c r="X56" s="838"/>
      <c r="Y56" s="749"/>
      <c r="AC56" s="157"/>
    </row>
    <row r="57" spans="2:29">
      <c r="B57" s="800"/>
      <c r="C57" s="802"/>
      <c r="D57" s="70" t="s">
        <v>155</v>
      </c>
      <c r="E57" s="173" t="s">
        <v>353</v>
      </c>
      <c r="F57" s="903" t="s">
        <v>553</v>
      </c>
      <c r="G57" s="904"/>
      <c r="H57" s="180" t="s">
        <v>522</v>
      </c>
      <c r="I57" s="199" t="s">
        <v>522</v>
      </c>
      <c r="J57" s="172">
        <f>SUM(K57:V57)</f>
        <v>4</v>
      </c>
      <c r="K57" s="753"/>
      <c r="L57" s="874"/>
      <c r="M57" s="874">
        <v>4</v>
      </c>
      <c r="N57" s="874"/>
      <c r="O57" s="874"/>
      <c r="P57" s="874"/>
      <c r="Q57" s="874"/>
      <c r="R57" s="874"/>
      <c r="S57" s="874"/>
      <c r="T57" s="874"/>
      <c r="U57" s="874"/>
      <c r="V57" s="889"/>
      <c r="W57" s="761">
        <f t="shared" si="14"/>
        <v>4</v>
      </c>
      <c r="X57" s="762"/>
      <c r="Y57" s="749"/>
      <c r="AC57" s="157"/>
    </row>
    <row r="58" spans="2:29">
      <c r="B58" s="800"/>
      <c r="C58" s="802"/>
      <c r="D58" s="209" t="s">
        <v>71</v>
      </c>
      <c r="E58" s="193" t="s">
        <v>353</v>
      </c>
      <c r="F58" s="895" t="s">
        <v>554</v>
      </c>
      <c r="G58" s="896"/>
      <c r="H58" s="180" t="s">
        <v>522</v>
      </c>
      <c r="I58" s="199" t="s">
        <v>522</v>
      </c>
      <c r="J58" s="47">
        <f t="shared" ref="J58:J63" si="15">SUM(K58:V58)</f>
        <v>4</v>
      </c>
      <c r="K58" s="753"/>
      <c r="L58" s="874"/>
      <c r="M58" s="874">
        <v>4</v>
      </c>
      <c r="N58" s="874"/>
      <c r="O58" s="874"/>
      <c r="P58" s="874"/>
      <c r="Q58" s="874"/>
      <c r="R58" s="874"/>
      <c r="S58" s="874"/>
      <c r="T58" s="874"/>
      <c r="U58" s="874"/>
      <c r="V58" s="889"/>
      <c r="W58" s="761">
        <f t="shared" si="14"/>
        <v>4</v>
      </c>
      <c r="X58" s="762"/>
      <c r="Y58" s="749"/>
      <c r="AC58" s="157"/>
    </row>
    <row r="59" spans="2:29">
      <c r="B59" s="800"/>
      <c r="C59" s="802"/>
      <c r="D59" s="70" t="s">
        <v>71</v>
      </c>
      <c r="E59" s="210" t="s">
        <v>354</v>
      </c>
      <c r="F59" s="797" t="s">
        <v>561</v>
      </c>
      <c r="G59" s="798"/>
      <c r="H59" s="180" t="s">
        <v>522</v>
      </c>
      <c r="I59" s="199" t="s">
        <v>522</v>
      </c>
      <c r="J59" s="172">
        <f t="shared" si="15"/>
        <v>9</v>
      </c>
      <c r="K59" s="752"/>
      <c r="L59" s="753"/>
      <c r="M59" s="754"/>
      <c r="N59" s="753"/>
      <c r="O59" s="754">
        <v>5</v>
      </c>
      <c r="P59" s="753"/>
      <c r="Q59" s="754">
        <v>4</v>
      </c>
      <c r="R59" s="753"/>
      <c r="S59" s="754"/>
      <c r="T59" s="753"/>
      <c r="U59" s="754"/>
      <c r="V59" s="760"/>
      <c r="W59" s="761">
        <f t="shared" si="14"/>
        <v>9</v>
      </c>
      <c r="X59" s="762"/>
      <c r="Y59" s="749"/>
      <c r="AC59" s="157"/>
    </row>
    <row r="60" spans="2:29">
      <c r="B60" s="800"/>
      <c r="C60" s="802"/>
      <c r="D60" s="70" t="s">
        <v>155</v>
      </c>
      <c r="E60" s="210" t="s">
        <v>354</v>
      </c>
      <c r="F60" s="893" t="s">
        <v>562</v>
      </c>
      <c r="G60" s="894"/>
      <c r="H60" s="180" t="s">
        <v>522</v>
      </c>
      <c r="I60" s="199" t="s">
        <v>522</v>
      </c>
      <c r="J60" s="47">
        <f t="shared" si="15"/>
        <v>13</v>
      </c>
      <c r="K60" s="897"/>
      <c r="L60" s="898"/>
      <c r="M60" s="898"/>
      <c r="N60" s="898"/>
      <c r="O60" s="898">
        <v>6</v>
      </c>
      <c r="P60" s="898"/>
      <c r="Q60" s="898">
        <v>7</v>
      </c>
      <c r="R60" s="898"/>
      <c r="S60" s="874"/>
      <c r="T60" s="874"/>
      <c r="U60" s="874"/>
      <c r="V60" s="889"/>
      <c r="W60" s="761">
        <f t="shared" si="14"/>
        <v>13</v>
      </c>
      <c r="X60" s="762"/>
      <c r="Y60" s="749"/>
      <c r="AC60" s="157"/>
    </row>
    <row r="61" spans="2:29">
      <c r="B61" s="800"/>
      <c r="C61" s="802"/>
      <c r="D61" s="70" t="s">
        <v>155</v>
      </c>
      <c r="E61" s="210" t="s">
        <v>354</v>
      </c>
      <c r="F61" s="895" t="s">
        <v>555</v>
      </c>
      <c r="G61" s="896"/>
      <c r="H61" s="180" t="s">
        <v>522</v>
      </c>
      <c r="I61" s="199" t="s">
        <v>522</v>
      </c>
      <c r="J61" s="47">
        <f t="shared" si="15"/>
        <v>19</v>
      </c>
      <c r="K61" s="753"/>
      <c r="L61" s="874"/>
      <c r="M61" s="874"/>
      <c r="N61" s="874"/>
      <c r="O61" s="874"/>
      <c r="P61" s="874"/>
      <c r="Q61" s="874"/>
      <c r="R61" s="874"/>
      <c r="S61" s="874">
        <v>8</v>
      </c>
      <c r="T61" s="874"/>
      <c r="U61" s="874">
        <v>11</v>
      </c>
      <c r="V61" s="889"/>
      <c r="W61" s="761">
        <f t="shared" si="14"/>
        <v>19</v>
      </c>
      <c r="X61" s="762"/>
      <c r="Y61" s="749"/>
      <c r="AC61" s="157"/>
    </row>
    <row r="62" spans="2:29">
      <c r="B62" s="800"/>
      <c r="C62" s="802"/>
      <c r="D62" s="209" t="s">
        <v>155</v>
      </c>
      <c r="E62" s="210" t="s">
        <v>354</v>
      </c>
      <c r="F62" s="895" t="s">
        <v>563</v>
      </c>
      <c r="G62" s="896"/>
      <c r="H62" s="180" t="s">
        <v>522</v>
      </c>
      <c r="I62" s="199" t="s">
        <v>522</v>
      </c>
      <c r="J62" s="150">
        <f t="shared" si="15"/>
        <v>23</v>
      </c>
      <c r="K62" s="753"/>
      <c r="L62" s="874"/>
      <c r="M62" s="874"/>
      <c r="N62" s="874"/>
      <c r="O62" s="874"/>
      <c r="P62" s="874"/>
      <c r="Q62" s="874"/>
      <c r="R62" s="874"/>
      <c r="S62" s="874">
        <v>11</v>
      </c>
      <c r="T62" s="874"/>
      <c r="U62" s="874">
        <v>12</v>
      </c>
      <c r="V62" s="889"/>
      <c r="W62" s="761">
        <f t="shared" ref="W62:W63" si="16">SUM(K62:V62)</f>
        <v>23</v>
      </c>
      <c r="X62" s="762"/>
      <c r="Y62" s="749"/>
      <c r="AC62" s="157"/>
    </row>
    <row r="63" spans="2:29" ht="18" thickBot="1">
      <c r="B63" s="800"/>
      <c r="C63" s="803"/>
      <c r="D63" s="71" t="s">
        <v>71</v>
      </c>
      <c r="E63" s="211" t="s">
        <v>354</v>
      </c>
      <c r="F63" s="882" t="s">
        <v>557</v>
      </c>
      <c r="G63" s="883"/>
      <c r="H63" s="56" t="s">
        <v>522</v>
      </c>
      <c r="I63" s="200" t="s">
        <v>522</v>
      </c>
      <c r="J63" s="171">
        <f t="shared" si="15"/>
        <v>12</v>
      </c>
      <c r="K63" s="890"/>
      <c r="L63" s="891"/>
      <c r="M63" s="891"/>
      <c r="N63" s="891"/>
      <c r="O63" s="891"/>
      <c r="P63" s="891"/>
      <c r="Q63" s="891"/>
      <c r="R63" s="891"/>
      <c r="S63" s="891">
        <v>6</v>
      </c>
      <c r="T63" s="891"/>
      <c r="U63" s="891">
        <v>6</v>
      </c>
      <c r="V63" s="892"/>
      <c r="W63" s="761">
        <f t="shared" si="16"/>
        <v>12</v>
      </c>
      <c r="X63" s="762"/>
      <c r="Y63" s="749"/>
      <c r="AC63" s="157"/>
    </row>
    <row r="64" spans="2:29" ht="24.75" customHeight="1" thickBot="1">
      <c r="B64" s="794" t="s">
        <v>358</v>
      </c>
      <c r="C64" s="792"/>
      <c r="D64" s="792"/>
      <c r="E64" s="792"/>
      <c r="F64" s="792"/>
      <c r="G64" s="793"/>
      <c r="H64" s="161">
        <f>SUM(H35:H39)</f>
        <v>0</v>
      </c>
      <c r="I64" s="162">
        <f>SUM(I35:I39)</f>
        <v>0</v>
      </c>
      <c r="J64" s="163">
        <v>106</v>
      </c>
      <c r="K64" s="794">
        <f>SUM(K35:L47)</f>
        <v>3</v>
      </c>
      <c r="L64" s="789"/>
      <c r="M64" s="790">
        <f>SUM(M35:N47)</f>
        <v>12</v>
      </c>
      <c r="N64" s="791"/>
      <c r="O64" s="788">
        <f>SUM(O35:P47)</f>
        <v>19</v>
      </c>
      <c r="P64" s="789"/>
      <c r="Q64" s="790">
        <f>SUM(Q35:R47)</f>
        <v>18</v>
      </c>
      <c r="R64" s="791"/>
      <c r="S64" s="792">
        <f>SUM(S35:T47)</f>
        <v>25</v>
      </c>
      <c r="T64" s="789"/>
      <c r="U64" s="790">
        <f>SUM(U35:V47)</f>
        <v>29</v>
      </c>
      <c r="V64" s="793"/>
      <c r="W64" s="794">
        <f>SUM(K64:V64)</f>
        <v>106</v>
      </c>
      <c r="X64" s="793"/>
      <c r="Y64" s="160">
        <f>SUM(Y35:Y45)</f>
        <v>80</v>
      </c>
      <c r="AC64" s="157"/>
    </row>
    <row r="65" spans="2:28" ht="17.25" customHeight="1" thickBot="1">
      <c r="B65" s="739" t="s">
        <v>541</v>
      </c>
      <c r="C65" s="740"/>
      <c r="D65" s="740"/>
      <c r="E65" s="740"/>
      <c r="F65" s="740"/>
      <c r="G65" s="741"/>
      <c r="H65" s="169">
        <f>SUM(H34,H64)</f>
        <v>89</v>
      </c>
      <c r="I65" s="167">
        <f>SUM(I34,I64)</f>
        <v>0</v>
      </c>
      <c r="J65" s="168">
        <f>SUM(J34,J64)</f>
        <v>174</v>
      </c>
      <c r="K65" s="739">
        <f>SUM(K34,K64)</f>
        <v>29</v>
      </c>
      <c r="L65" s="758"/>
      <c r="M65" s="744">
        <f>SUM(M34,M64)</f>
        <v>29</v>
      </c>
      <c r="N65" s="817"/>
      <c r="O65" s="818">
        <f>SUM(O34,O64)</f>
        <v>29</v>
      </c>
      <c r="P65" s="758"/>
      <c r="Q65" s="744">
        <f>SUM(Q34,Q64)</f>
        <v>29</v>
      </c>
      <c r="R65" s="817"/>
      <c r="S65" s="818">
        <f>SUM(S34,S64)</f>
        <v>29</v>
      </c>
      <c r="T65" s="758"/>
      <c r="U65" s="744">
        <f>SUM(U34,U64)</f>
        <v>29</v>
      </c>
      <c r="V65" s="741"/>
      <c r="W65" s="739">
        <f>SUM(K65:V65)</f>
        <v>174</v>
      </c>
      <c r="X65" s="741"/>
      <c r="Y65" s="11">
        <f>Y64+Y34</f>
        <v>144</v>
      </c>
      <c r="AA65" s="724" t="s">
        <v>156</v>
      </c>
      <c r="AB65" s="724"/>
    </row>
    <row r="66" spans="2:28" ht="18.75" customHeight="1" thickBot="1">
      <c r="B66" s="805" t="s">
        <v>359</v>
      </c>
      <c r="C66" s="806"/>
      <c r="D66" s="806"/>
      <c r="E66" s="807"/>
      <c r="F66" s="814" t="s">
        <v>356</v>
      </c>
      <c r="G66" s="815"/>
      <c r="H66" s="815"/>
      <c r="I66" s="815"/>
      <c r="J66" s="816"/>
      <c r="K66" s="690">
        <v>16</v>
      </c>
      <c r="L66" s="692"/>
      <c r="M66" s="693">
        <v>16</v>
      </c>
      <c r="N66" s="694"/>
      <c r="O66" s="695">
        <v>16</v>
      </c>
      <c r="P66" s="692"/>
      <c r="Q66" s="693">
        <v>16</v>
      </c>
      <c r="R66" s="694"/>
      <c r="S66" s="695">
        <v>16</v>
      </c>
      <c r="T66" s="692"/>
      <c r="U66" s="693">
        <v>16</v>
      </c>
      <c r="V66" s="691"/>
      <c r="W66" s="805">
        <f>SUM(K66:V68)</f>
        <v>288</v>
      </c>
      <c r="X66" s="807"/>
      <c r="Y66" s="821">
        <f>Y69*16</f>
        <v>288</v>
      </c>
      <c r="AA66" s="804"/>
      <c r="AB66" s="804"/>
    </row>
    <row r="67" spans="2:28" ht="17.25" customHeight="1" thickBot="1">
      <c r="B67" s="808"/>
      <c r="C67" s="809"/>
      <c r="D67" s="809"/>
      <c r="E67" s="810"/>
      <c r="F67" s="823" t="s">
        <v>63</v>
      </c>
      <c r="G67" s="824"/>
      <c r="H67" s="824"/>
      <c r="I67" s="824"/>
      <c r="J67" s="825"/>
      <c r="K67" s="710">
        <v>16</v>
      </c>
      <c r="L67" s="712"/>
      <c r="M67" s="713">
        <v>16</v>
      </c>
      <c r="N67" s="714"/>
      <c r="O67" s="715">
        <v>16</v>
      </c>
      <c r="P67" s="712"/>
      <c r="Q67" s="713">
        <v>16</v>
      </c>
      <c r="R67" s="714"/>
      <c r="S67" s="715">
        <v>16</v>
      </c>
      <c r="T67" s="712"/>
      <c r="U67" s="713">
        <v>16</v>
      </c>
      <c r="V67" s="711"/>
      <c r="W67" s="808"/>
      <c r="X67" s="810"/>
      <c r="Y67" s="749"/>
      <c r="AA67" s="735" t="b">
        <f>W65&gt;=Y65</f>
        <v>1</v>
      </c>
      <c r="AB67" s="736"/>
    </row>
    <row r="68" spans="2:28" ht="17.25" customHeight="1">
      <c r="B68" s="808"/>
      <c r="C68" s="809"/>
      <c r="D68" s="809"/>
      <c r="E68" s="810"/>
      <c r="F68" s="823" t="s">
        <v>11</v>
      </c>
      <c r="G68" s="824"/>
      <c r="H68" s="824"/>
      <c r="I68" s="824"/>
      <c r="J68" s="825"/>
      <c r="K68" s="710">
        <v>16</v>
      </c>
      <c r="L68" s="712"/>
      <c r="M68" s="713">
        <v>16</v>
      </c>
      <c r="N68" s="714"/>
      <c r="O68" s="715">
        <v>16</v>
      </c>
      <c r="P68" s="712"/>
      <c r="Q68" s="713">
        <v>16</v>
      </c>
      <c r="R68" s="714"/>
      <c r="S68" s="715">
        <v>16</v>
      </c>
      <c r="T68" s="712"/>
      <c r="U68" s="713">
        <v>16</v>
      </c>
      <c r="V68" s="711"/>
      <c r="W68" s="819"/>
      <c r="X68" s="820"/>
      <c r="Y68" s="822"/>
    </row>
    <row r="69" spans="2:28" ht="17.25" customHeight="1" thickBot="1">
      <c r="B69" s="811"/>
      <c r="C69" s="812"/>
      <c r="D69" s="812"/>
      <c r="E69" s="813"/>
      <c r="F69" s="831" t="s">
        <v>149</v>
      </c>
      <c r="G69" s="833"/>
      <c r="H69" s="833"/>
      <c r="I69" s="833"/>
      <c r="J69" s="832"/>
      <c r="K69" s="834">
        <v>3</v>
      </c>
      <c r="L69" s="827"/>
      <c r="M69" s="828">
        <v>3</v>
      </c>
      <c r="N69" s="829"/>
      <c r="O69" s="826">
        <v>3</v>
      </c>
      <c r="P69" s="827"/>
      <c r="Q69" s="828">
        <v>3</v>
      </c>
      <c r="R69" s="829"/>
      <c r="S69" s="826">
        <v>3</v>
      </c>
      <c r="T69" s="827"/>
      <c r="U69" s="828">
        <v>3</v>
      </c>
      <c r="V69" s="830"/>
      <c r="W69" s="831">
        <f>SUM(K69:V69)</f>
        <v>18</v>
      </c>
      <c r="X69" s="832"/>
      <c r="Y69" s="74">
        <v>18</v>
      </c>
      <c r="AA69" s="724" t="s">
        <v>157</v>
      </c>
      <c r="AB69" s="724"/>
    </row>
    <row r="70" spans="2:28" ht="17.25" customHeight="1" thickBot="1">
      <c r="B70" s="739"/>
      <c r="C70" s="740"/>
      <c r="D70" s="740"/>
      <c r="E70" s="740"/>
      <c r="F70" s="740"/>
      <c r="G70" s="740"/>
      <c r="H70" s="740"/>
      <c r="I70" s="740"/>
      <c r="J70" s="741"/>
      <c r="K70" s="739">
        <v>32</v>
      </c>
      <c r="L70" s="758"/>
      <c r="M70" s="744">
        <v>32</v>
      </c>
      <c r="N70" s="817"/>
      <c r="O70" s="818">
        <v>32</v>
      </c>
      <c r="P70" s="758"/>
      <c r="Q70" s="744">
        <v>32</v>
      </c>
      <c r="R70" s="817"/>
      <c r="S70" s="818">
        <v>32</v>
      </c>
      <c r="T70" s="758"/>
      <c r="U70" s="744">
        <v>32</v>
      </c>
      <c r="V70" s="741"/>
      <c r="W70" s="739">
        <f>SUM(K70:V70)</f>
        <v>192</v>
      </c>
      <c r="X70" s="741"/>
      <c r="Y70" s="35">
        <f>W70</f>
        <v>192</v>
      </c>
      <c r="AA70" s="735" t="b">
        <f>W69&gt;=Y69</f>
        <v>1</v>
      </c>
      <c r="AB70" s="736"/>
    </row>
    <row r="71" spans="2:28" ht="17.25" customHeight="1" thickBot="1">
      <c r="B71" s="739"/>
      <c r="C71" s="740"/>
      <c r="D71" s="740"/>
      <c r="E71" s="740"/>
      <c r="F71" s="740"/>
      <c r="G71" s="740"/>
      <c r="H71" s="740"/>
      <c r="I71" s="740"/>
      <c r="J71" s="741"/>
      <c r="K71" s="739">
        <f>SUM(K70:N70)</f>
        <v>64</v>
      </c>
      <c r="L71" s="740"/>
      <c r="M71" s="740"/>
      <c r="N71" s="817"/>
      <c r="O71" s="818">
        <f>SUM(O70:R70)</f>
        <v>64</v>
      </c>
      <c r="P71" s="740"/>
      <c r="Q71" s="740"/>
      <c r="R71" s="817"/>
      <c r="S71" s="818">
        <f>SUM(S70:V70)</f>
        <v>64</v>
      </c>
      <c r="T71" s="740"/>
      <c r="U71" s="740"/>
      <c r="V71" s="741"/>
      <c r="W71" s="739">
        <f>SUM(K71:V71)</f>
        <v>192</v>
      </c>
      <c r="X71" s="741"/>
      <c r="Y71" s="11"/>
      <c r="AA71" s="724" t="s">
        <v>153</v>
      </c>
      <c r="AB71" s="724"/>
    </row>
    <row r="72" spans="2:28" ht="17.25" customHeight="1" thickBot="1">
      <c r="AA72" s="735" t="b">
        <f>W70&gt;=Y70</f>
        <v>1</v>
      </c>
      <c r="AB72" s="736"/>
    </row>
    <row r="73" spans="2:28" ht="17.25" customHeight="1"/>
    <row r="74" spans="2:28" ht="17.25" customHeight="1"/>
    <row r="75" spans="2:28" ht="17.25" customHeight="1"/>
    <row r="77" spans="2:28" ht="24.9" customHeight="1"/>
    <row r="78" spans="2:28" ht="24.9" customHeight="1"/>
    <row r="79" spans="2:28" ht="32.25" customHeight="1"/>
    <row r="80" spans="2:28" ht="24.9" customHeight="1"/>
    <row r="82" ht="16.5" customHeight="1"/>
    <row r="83" ht="17.2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244.5" customHeight="1"/>
  </sheetData>
  <mergeCells count="553">
    <mergeCell ref="C48:C55"/>
    <mergeCell ref="C56:C63"/>
    <mergeCell ref="U62:V62"/>
    <mergeCell ref="W62:X62"/>
    <mergeCell ref="F46:G46"/>
    <mergeCell ref="K46:L46"/>
    <mergeCell ref="M46:N46"/>
    <mergeCell ref="O46:P46"/>
    <mergeCell ref="Q46:R46"/>
    <mergeCell ref="S46:T46"/>
    <mergeCell ref="U46:V46"/>
    <mergeCell ref="W46:X46"/>
    <mergeCell ref="F62:G62"/>
    <mergeCell ref="K62:L62"/>
    <mergeCell ref="M62:N62"/>
    <mergeCell ref="O62:P62"/>
    <mergeCell ref="Q62:R62"/>
    <mergeCell ref="W61:X61"/>
    <mergeCell ref="W63:X63"/>
    <mergeCell ref="F55:G55"/>
    <mergeCell ref="F56:G56"/>
    <mergeCell ref="F57:G57"/>
    <mergeCell ref="F58:G58"/>
    <mergeCell ref="F59:G59"/>
    <mergeCell ref="F60:G60"/>
    <mergeCell ref="F61:G61"/>
    <mergeCell ref="S62:T62"/>
    <mergeCell ref="W55:X55"/>
    <mergeCell ref="W56:X56"/>
    <mergeCell ref="W57:X57"/>
    <mergeCell ref="W58:X58"/>
    <mergeCell ref="W59:X59"/>
    <mergeCell ref="W60:X60"/>
    <mergeCell ref="K60:L60"/>
    <mergeCell ref="M60:N60"/>
    <mergeCell ref="O60:P60"/>
    <mergeCell ref="Q60:R60"/>
    <mergeCell ref="S60:T60"/>
    <mergeCell ref="U60:V60"/>
    <mergeCell ref="K59:L59"/>
    <mergeCell ref="M59:N59"/>
    <mergeCell ref="O59:P59"/>
    <mergeCell ref="Q59:R59"/>
    <mergeCell ref="S59:T59"/>
    <mergeCell ref="U59:V59"/>
    <mergeCell ref="K58:L58"/>
    <mergeCell ref="M58:N58"/>
    <mergeCell ref="O58:P58"/>
    <mergeCell ref="U58:V58"/>
    <mergeCell ref="K57:L57"/>
    <mergeCell ref="M57:N57"/>
    <mergeCell ref="O57:P57"/>
    <mergeCell ref="Q57:R57"/>
    <mergeCell ref="S57:T57"/>
    <mergeCell ref="U57:V57"/>
    <mergeCell ref="K63:L63"/>
    <mergeCell ref="M63:N63"/>
    <mergeCell ref="O63:P63"/>
    <mergeCell ref="Q63:R63"/>
    <mergeCell ref="S63:T63"/>
    <mergeCell ref="U63:V63"/>
    <mergeCell ref="K61:L61"/>
    <mergeCell ref="M61:N61"/>
    <mergeCell ref="O61:P61"/>
    <mergeCell ref="Q61:R61"/>
    <mergeCell ref="S61:T61"/>
    <mergeCell ref="U61:V61"/>
    <mergeCell ref="U56:V56"/>
    <mergeCell ref="S54:T54"/>
    <mergeCell ref="U54:V54"/>
    <mergeCell ref="W54:X54"/>
    <mergeCell ref="K55:L55"/>
    <mergeCell ref="M55:N55"/>
    <mergeCell ref="O55:P55"/>
    <mergeCell ref="Q55:R55"/>
    <mergeCell ref="S55:T55"/>
    <mergeCell ref="U55:V55"/>
    <mergeCell ref="U52:V52"/>
    <mergeCell ref="W52:X52"/>
    <mergeCell ref="F53:G53"/>
    <mergeCell ref="K53:L53"/>
    <mergeCell ref="M53:N53"/>
    <mergeCell ref="O53:P53"/>
    <mergeCell ref="Q53:R53"/>
    <mergeCell ref="S53:T53"/>
    <mergeCell ref="U53:V53"/>
    <mergeCell ref="W53:X53"/>
    <mergeCell ref="AA72:AB72"/>
    <mergeCell ref="F22:G22"/>
    <mergeCell ref="K22:L22"/>
    <mergeCell ref="M22:N22"/>
    <mergeCell ref="O22:P22"/>
    <mergeCell ref="Q22:R22"/>
    <mergeCell ref="S22:T22"/>
    <mergeCell ref="U22:V22"/>
    <mergeCell ref="F38:G38"/>
    <mergeCell ref="K38:L38"/>
    <mergeCell ref="W70:X70"/>
    <mergeCell ref="AA70:AB70"/>
    <mergeCell ref="B71:J71"/>
    <mergeCell ref="K71:N71"/>
    <mergeCell ref="O71:R71"/>
    <mergeCell ref="S71:V71"/>
    <mergeCell ref="W71:X71"/>
    <mergeCell ref="AA71:AB71"/>
    <mergeCell ref="U69:V69"/>
    <mergeCell ref="W69:X69"/>
    <mergeCell ref="AA69:AB69"/>
    <mergeCell ref="B70:J70"/>
    <mergeCell ref="K70:L70"/>
    <mergeCell ref="M70:N70"/>
    <mergeCell ref="O70:P70"/>
    <mergeCell ref="Q70:R70"/>
    <mergeCell ref="S70:T70"/>
    <mergeCell ref="U70:V70"/>
    <mergeCell ref="F69:J69"/>
    <mergeCell ref="K69:L69"/>
    <mergeCell ref="M69:N69"/>
    <mergeCell ref="O69:P69"/>
    <mergeCell ref="Q69:R69"/>
    <mergeCell ref="S69:T69"/>
    <mergeCell ref="Q68:R68"/>
    <mergeCell ref="S68:T68"/>
    <mergeCell ref="U68:V68"/>
    <mergeCell ref="U66:V66"/>
    <mergeCell ref="W66:X68"/>
    <mergeCell ref="Y66:Y68"/>
    <mergeCell ref="F67:J67"/>
    <mergeCell ref="K67:L67"/>
    <mergeCell ref="M67:N67"/>
    <mergeCell ref="O67:P67"/>
    <mergeCell ref="Q67:R67"/>
    <mergeCell ref="S67:T67"/>
    <mergeCell ref="U67:V67"/>
    <mergeCell ref="U64:V64"/>
    <mergeCell ref="W64:X64"/>
    <mergeCell ref="F63:G63"/>
    <mergeCell ref="U65:V65"/>
    <mergeCell ref="W65:X65"/>
    <mergeCell ref="AA65:AB66"/>
    <mergeCell ref="B66:E69"/>
    <mergeCell ref="F66:J66"/>
    <mergeCell ref="K66:L66"/>
    <mergeCell ref="M66:N66"/>
    <mergeCell ref="O66:P66"/>
    <mergeCell ref="Q66:R66"/>
    <mergeCell ref="S66:T66"/>
    <mergeCell ref="B65:G65"/>
    <mergeCell ref="K65:L65"/>
    <mergeCell ref="M65:N65"/>
    <mergeCell ref="O65:P65"/>
    <mergeCell ref="Q65:R65"/>
    <mergeCell ref="S65:T65"/>
    <mergeCell ref="AA67:AB67"/>
    <mergeCell ref="F68:J68"/>
    <mergeCell ref="K68:L68"/>
    <mergeCell ref="M68:N68"/>
    <mergeCell ref="O68:P68"/>
    <mergeCell ref="F50:G50"/>
    <mergeCell ref="K50:L50"/>
    <mergeCell ref="M50:N50"/>
    <mergeCell ref="O50:P50"/>
    <mergeCell ref="Q50:R50"/>
    <mergeCell ref="S50:T50"/>
    <mergeCell ref="B64:G64"/>
    <mergeCell ref="K64:L64"/>
    <mergeCell ref="M64:N64"/>
    <mergeCell ref="O64:P64"/>
    <mergeCell ref="Q64:R64"/>
    <mergeCell ref="S64:T64"/>
    <mergeCell ref="F54:G54"/>
    <mergeCell ref="K54:L54"/>
    <mergeCell ref="M54:N54"/>
    <mergeCell ref="O54:P54"/>
    <mergeCell ref="Q54:R54"/>
    <mergeCell ref="K56:L56"/>
    <mergeCell ref="M56:N56"/>
    <mergeCell ref="O56:P56"/>
    <mergeCell ref="Q56:R56"/>
    <mergeCell ref="S56:T56"/>
    <mergeCell ref="Q58:R58"/>
    <mergeCell ref="S58:T58"/>
    <mergeCell ref="F49:G49"/>
    <mergeCell ref="K49:L49"/>
    <mergeCell ref="M49:N49"/>
    <mergeCell ref="O49:P49"/>
    <mergeCell ref="Q49:R49"/>
    <mergeCell ref="S49:T49"/>
    <mergeCell ref="U49:V49"/>
    <mergeCell ref="W49:X49"/>
    <mergeCell ref="F52:G52"/>
    <mergeCell ref="K52:L52"/>
    <mergeCell ref="M52:N52"/>
    <mergeCell ref="O52:P52"/>
    <mergeCell ref="Q52:R52"/>
    <mergeCell ref="S52:T52"/>
    <mergeCell ref="U50:V50"/>
    <mergeCell ref="W50:X50"/>
    <mergeCell ref="F51:G51"/>
    <mergeCell ref="K51:L51"/>
    <mergeCell ref="M51:N51"/>
    <mergeCell ref="O51:P51"/>
    <mergeCell ref="Q51:R51"/>
    <mergeCell ref="S51:T51"/>
    <mergeCell ref="U51:V51"/>
    <mergeCell ref="W51:X51"/>
    <mergeCell ref="U47:V47"/>
    <mergeCell ref="W47:X47"/>
    <mergeCell ref="F48:G48"/>
    <mergeCell ref="K48:L48"/>
    <mergeCell ref="M48:N48"/>
    <mergeCell ref="O48:P48"/>
    <mergeCell ref="Q48:R48"/>
    <mergeCell ref="S48:T48"/>
    <mergeCell ref="U48:V48"/>
    <mergeCell ref="F47:G47"/>
    <mergeCell ref="K47:L47"/>
    <mergeCell ref="M47:N47"/>
    <mergeCell ref="O47:P47"/>
    <mergeCell ref="Q47:R47"/>
    <mergeCell ref="S47:T47"/>
    <mergeCell ref="W48:X48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F41:G41"/>
    <mergeCell ref="K41:L41"/>
    <mergeCell ref="M41:N41"/>
    <mergeCell ref="O41:P41"/>
    <mergeCell ref="Q41:R41"/>
    <mergeCell ref="S41:T41"/>
    <mergeCell ref="U41:V41"/>
    <mergeCell ref="W41:X41"/>
    <mergeCell ref="U42:V42"/>
    <mergeCell ref="W42:X42"/>
    <mergeCell ref="K39:L39"/>
    <mergeCell ref="M39:N39"/>
    <mergeCell ref="O39:P39"/>
    <mergeCell ref="Q39:R39"/>
    <mergeCell ref="S39:T39"/>
    <mergeCell ref="B35:C39"/>
    <mergeCell ref="F35:G35"/>
    <mergeCell ref="U40:V40"/>
    <mergeCell ref="W40:X40"/>
    <mergeCell ref="G36:G37"/>
    <mergeCell ref="J36:J37"/>
    <mergeCell ref="O36:P37"/>
    <mergeCell ref="W38:X38"/>
    <mergeCell ref="M38:N38"/>
    <mergeCell ref="O38:P38"/>
    <mergeCell ref="Q38:R38"/>
    <mergeCell ref="S38:T38"/>
    <mergeCell ref="U38:V38"/>
    <mergeCell ref="AA34:AB34"/>
    <mergeCell ref="K35:L35"/>
    <mergeCell ref="M35:N35"/>
    <mergeCell ref="O35:P35"/>
    <mergeCell ref="Q35:R35"/>
    <mergeCell ref="U36:V36"/>
    <mergeCell ref="W36:X36"/>
    <mergeCell ref="K37:L37"/>
    <mergeCell ref="M37:N37"/>
    <mergeCell ref="Q37:R37"/>
    <mergeCell ref="S37:T37"/>
    <mergeCell ref="U37:V37"/>
    <mergeCell ref="W37:X37"/>
    <mergeCell ref="S35:T35"/>
    <mergeCell ref="U35:V35"/>
    <mergeCell ref="W35:X35"/>
    <mergeCell ref="B34:G34"/>
    <mergeCell ref="K34:L34"/>
    <mergeCell ref="M34:N34"/>
    <mergeCell ref="O34:P34"/>
    <mergeCell ref="Q34:R34"/>
    <mergeCell ref="Y35:Y63"/>
    <mergeCell ref="K36:L36"/>
    <mergeCell ref="M36:N36"/>
    <mergeCell ref="Q36:R36"/>
    <mergeCell ref="S36:T36"/>
    <mergeCell ref="S34:T34"/>
    <mergeCell ref="U34:V34"/>
    <mergeCell ref="W34:X34"/>
    <mergeCell ref="U39:V39"/>
    <mergeCell ref="W39:X39"/>
    <mergeCell ref="B40:B63"/>
    <mergeCell ref="C40:C47"/>
    <mergeCell ref="F40:G40"/>
    <mergeCell ref="K40:L40"/>
    <mergeCell ref="M40:N40"/>
    <mergeCell ref="O40:P40"/>
    <mergeCell ref="Q40:R40"/>
    <mergeCell ref="S40:T40"/>
    <mergeCell ref="F39:G39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S33:T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S29:T29"/>
    <mergeCell ref="U29:V29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D21:D23"/>
    <mergeCell ref="F21:G21"/>
    <mergeCell ref="K21:L21"/>
    <mergeCell ref="M21:N21"/>
    <mergeCell ref="O21:P21"/>
    <mergeCell ref="Q21:R21"/>
    <mergeCell ref="S21:T21"/>
    <mergeCell ref="U21:V21"/>
    <mergeCell ref="F20:G20"/>
    <mergeCell ref="K20:L20"/>
    <mergeCell ref="M20:N20"/>
    <mergeCell ref="O20:P20"/>
    <mergeCell ref="Q20:R20"/>
    <mergeCell ref="S20:T20"/>
    <mergeCell ref="F23:G23"/>
    <mergeCell ref="K23:L23"/>
    <mergeCell ref="M23:N23"/>
    <mergeCell ref="O23:P23"/>
    <mergeCell ref="Q23:R23"/>
    <mergeCell ref="S23:T23"/>
    <mergeCell ref="U23:V23"/>
    <mergeCell ref="U20:V20"/>
    <mergeCell ref="AA18:AB18"/>
    <mergeCell ref="F19:G19"/>
    <mergeCell ref="K19:L19"/>
    <mergeCell ref="M19:N19"/>
    <mergeCell ref="O19:P19"/>
    <mergeCell ref="Q19:R19"/>
    <mergeCell ref="S19:T19"/>
    <mergeCell ref="U19:V19"/>
    <mergeCell ref="X19:X20"/>
    <mergeCell ref="Y19:Y23"/>
    <mergeCell ref="X21:X23"/>
    <mergeCell ref="X17:X18"/>
    <mergeCell ref="Y17:Y18"/>
    <mergeCell ref="F18:G18"/>
    <mergeCell ref="K18:L18"/>
    <mergeCell ref="M18:N18"/>
    <mergeCell ref="O18:P18"/>
    <mergeCell ref="Q18:R18"/>
    <mergeCell ref="S18:T18"/>
    <mergeCell ref="U18:V18"/>
    <mergeCell ref="K16:L16"/>
    <mergeCell ref="M16:N16"/>
    <mergeCell ref="O16:P16"/>
    <mergeCell ref="Q16:R16"/>
    <mergeCell ref="S16:T16"/>
    <mergeCell ref="U16:V16"/>
    <mergeCell ref="D17:D20"/>
    <mergeCell ref="F17:G17"/>
    <mergeCell ref="K17:L17"/>
    <mergeCell ref="M17:N17"/>
    <mergeCell ref="O17:P17"/>
    <mergeCell ref="Q17:R17"/>
    <mergeCell ref="S17:T17"/>
    <mergeCell ref="D14:D16"/>
    <mergeCell ref="U17:V17"/>
    <mergeCell ref="X12:X13"/>
    <mergeCell ref="F13:G13"/>
    <mergeCell ref="K13:L13"/>
    <mergeCell ref="M13:N13"/>
    <mergeCell ref="O13:P13"/>
    <mergeCell ref="Q13:R13"/>
    <mergeCell ref="S13:T13"/>
    <mergeCell ref="U13:V13"/>
    <mergeCell ref="S14:T14"/>
    <mergeCell ref="U14:V14"/>
    <mergeCell ref="X14:X16"/>
    <mergeCell ref="F15:G15"/>
    <mergeCell ref="K15:L15"/>
    <mergeCell ref="M15:N15"/>
    <mergeCell ref="O15:P15"/>
    <mergeCell ref="Q15:R15"/>
    <mergeCell ref="S15:T15"/>
    <mergeCell ref="U15:V15"/>
    <mergeCell ref="F14:G14"/>
    <mergeCell ref="K14:L14"/>
    <mergeCell ref="M14:N14"/>
    <mergeCell ref="O14:P14"/>
    <mergeCell ref="Q14:R14"/>
    <mergeCell ref="F16:G16"/>
    <mergeCell ref="K10:L10"/>
    <mergeCell ref="M10:N10"/>
    <mergeCell ref="O10:P10"/>
    <mergeCell ref="Q10:R10"/>
    <mergeCell ref="S10:T10"/>
    <mergeCell ref="U10:V10"/>
    <mergeCell ref="F11:G11"/>
    <mergeCell ref="D12:D13"/>
    <mergeCell ref="F12:G12"/>
    <mergeCell ref="K12:L12"/>
    <mergeCell ref="M12:N12"/>
    <mergeCell ref="O12:P12"/>
    <mergeCell ref="Q12:R12"/>
    <mergeCell ref="K11:L11"/>
    <mergeCell ref="M11:N11"/>
    <mergeCell ref="O11:P11"/>
    <mergeCell ref="Q11:R11"/>
    <mergeCell ref="S12:T12"/>
    <mergeCell ref="U12:V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S11:T11"/>
    <mergeCell ref="U11:V11"/>
    <mergeCell ref="X9:X11"/>
    <mergeCell ref="Y9:Y16"/>
    <mergeCell ref="F10:G10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4:AB34 AA67:AB67 AA70:AB70 AA72:AB72">
    <cfRule type="containsText" dxfId="2" priority="1" operator="containsText" text="FALSE">
      <formula>NOT(ISERROR(SEARCH("FALSE",AA34)))</formula>
    </cfRule>
  </conditionalFormatting>
  <printOptions horizontalCentered="1" verticalCentered="1"/>
  <pageMargins left="0.25" right="0.25" top="0.75" bottom="0.75" header="0.3" footer="0.3"/>
  <pageSetup paperSize="12" scale="52" orientation="portrait" cellComments="asDisplayed" r:id="rId1"/>
  <ignoredErrors>
    <ignoredError sqref="W35:W36 W38:W39" formulaRange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98D41EA-CAD6-4F89-810A-B6C777EFCA50}">
          <x14:formula1>
            <xm:f>삭제금지!$H$2:$H$18</xm:f>
          </x14:formula1>
          <xm:sqref>B5</xm:sqref>
        </x14:dataValidation>
        <x14:dataValidation type="list" allowBlank="1" showInputMessage="1" showErrorMessage="1" xr:uid="{5C2CDC30-2381-4DA5-8156-70D407367ACC}">
          <x14:formula1>
            <xm:f>삭제금지!$L$2:$L$4</xm:f>
          </x14:formula1>
          <xm:sqref>T5:V5</xm:sqref>
        </x14:dataValidation>
        <x14:dataValidation type="list" allowBlank="1" showInputMessage="1" showErrorMessage="1" xr:uid="{A8F141FF-EC9A-4D84-8E45-A3B8A494D55D}">
          <x14:formula1>
            <xm:f>삭제금지!$K$2:$K$59</xm:f>
          </x14:formula1>
          <xm:sqref>K5:O5</xm:sqref>
        </x14:dataValidation>
        <x14:dataValidation type="list" allowBlank="1" showInputMessage="1" showErrorMessage="1" xr:uid="{3079BFD0-031E-4E84-B3CE-045E0479509E}">
          <x14:formula1>
            <xm:f>삭제금지!$I$2:$I$18</xm:f>
          </x14:formula1>
          <xm:sqref>F5:G5</xm:sqref>
        </x14:dataValidation>
        <x14:dataValidation type="list" allowBlank="1" showInputMessage="1" showErrorMessage="1" xr:uid="{95573678-8C08-4B77-8E37-DA845F1144E9}">
          <x14:formula1>
            <xm:f>삭제금지!$J$2:$J$59</xm:f>
          </x14:formula1>
          <xm:sqref>H5:J5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BB10-AA63-4BF6-BEE6-C22A1847FF6E}">
  <sheetPr>
    <pageSetUpPr fitToPage="1"/>
  </sheetPr>
  <dimension ref="B1:AD102"/>
  <sheetViews>
    <sheetView zoomScaleNormal="100" zoomScaleSheetLayoutView="100" workbookViewId="0">
      <pane ySplit="8" topLeftCell="A9" activePane="bottomLeft" state="frozen"/>
      <selection pane="bottomLeft" activeCell="H75" sqref="H7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7.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8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634" t="s">
        <v>506</v>
      </c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5"/>
      <c r="V2" s="636" t="s">
        <v>130</v>
      </c>
      <c r="W2" s="637"/>
      <c r="X2" s="638">
        <v>2027</v>
      </c>
      <c r="Y2" s="639"/>
      <c r="AA2" s="640" t="s">
        <v>143</v>
      </c>
      <c r="AB2" s="19" t="s">
        <v>144</v>
      </c>
      <c r="AC2" s="34" t="s">
        <v>152</v>
      </c>
      <c r="AD2" s="20" t="s">
        <v>145</v>
      </c>
    </row>
    <row r="3" spans="2:30" ht="18" thickBot="1">
      <c r="B3" s="643" t="s">
        <v>357</v>
      </c>
      <c r="C3" s="645" t="s">
        <v>53</v>
      </c>
      <c r="D3" s="646"/>
      <c r="E3" s="646"/>
      <c r="F3" s="645" t="s">
        <v>64</v>
      </c>
      <c r="G3" s="649"/>
      <c r="H3" s="645" t="s">
        <v>54</v>
      </c>
      <c r="I3" s="646"/>
      <c r="J3" s="646"/>
      <c r="K3" s="645" t="s">
        <v>55</v>
      </c>
      <c r="L3" s="646"/>
      <c r="M3" s="646"/>
      <c r="N3" s="646"/>
      <c r="O3" s="649"/>
      <c r="P3" s="651" t="s">
        <v>56</v>
      </c>
      <c r="Q3" s="652"/>
      <c r="R3" s="652"/>
      <c r="S3" s="652"/>
      <c r="T3" s="652"/>
      <c r="U3" s="652"/>
      <c r="V3" s="652"/>
      <c r="W3" s="652"/>
      <c r="X3" s="652"/>
      <c r="Y3" s="653"/>
      <c r="AA3" s="641"/>
      <c r="AB3" s="21" t="s">
        <v>146</v>
      </c>
      <c r="AC3" s="36" t="s">
        <v>508</v>
      </c>
      <c r="AD3" s="22" t="s">
        <v>509</v>
      </c>
    </row>
    <row r="4" spans="2:30" ht="18" thickBot="1">
      <c r="B4" s="644"/>
      <c r="C4" s="647"/>
      <c r="D4" s="648"/>
      <c r="E4" s="648"/>
      <c r="F4" s="647"/>
      <c r="G4" s="650"/>
      <c r="H4" s="647"/>
      <c r="I4" s="648"/>
      <c r="J4" s="648"/>
      <c r="K4" s="647"/>
      <c r="L4" s="648"/>
      <c r="M4" s="648"/>
      <c r="N4" s="648"/>
      <c r="O4" s="650"/>
      <c r="P4" s="651" t="s">
        <v>127</v>
      </c>
      <c r="Q4" s="652"/>
      <c r="R4" s="652"/>
      <c r="S4" s="652"/>
      <c r="T4" s="651" t="s">
        <v>61</v>
      </c>
      <c r="U4" s="652"/>
      <c r="V4" s="653"/>
      <c r="W4" s="652" t="s">
        <v>128</v>
      </c>
      <c r="X4" s="652"/>
      <c r="Y4" s="653"/>
      <c r="AA4" s="641"/>
      <c r="AB4" s="23" t="s">
        <v>147</v>
      </c>
      <c r="AC4" s="37" t="s">
        <v>510</v>
      </c>
      <c r="AD4" s="22" t="s">
        <v>511</v>
      </c>
    </row>
    <row r="5" spans="2:30" ht="39.6" customHeight="1" thickBot="1">
      <c r="B5" s="195" t="s">
        <v>505</v>
      </c>
      <c r="C5" s="654" t="s">
        <v>507</v>
      </c>
      <c r="D5" s="654"/>
      <c r="E5" s="654"/>
      <c r="F5" s="655" t="s">
        <v>564</v>
      </c>
      <c r="G5" s="656"/>
      <c r="H5" s="655" t="s">
        <v>565</v>
      </c>
      <c r="I5" s="654"/>
      <c r="J5" s="654"/>
      <c r="K5" s="655"/>
      <c r="L5" s="654"/>
      <c r="M5" s="654"/>
      <c r="N5" s="654"/>
      <c r="O5" s="656"/>
      <c r="P5" s="655" t="s">
        <v>566</v>
      </c>
      <c r="Q5" s="654"/>
      <c r="R5" s="654"/>
      <c r="S5" s="654"/>
      <c r="T5" s="655" t="s">
        <v>513</v>
      </c>
      <c r="U5" s="654"/>
      <c r="V5" s="654"/>
      <c r="W5" s="844" t="s">
        <v>896</v>
      </c>
      <c r="X5" s="845"/>
      <c r="Y5" s="846"/>
      <c r="AA5" s="642"/>
      <c r="AB5" s="24" t="s">
        <v>148</v>
      </c>
      <c r="AC5" s="38"/>
      <c r="AD5" s="140"/>
    </row>
    <row r="6" spans="2:30" ht="15.75" customHeight="1" thickBot="1">
      <c r="U6" s="660"/>
      <c r="V6" s="660"/>
      <c r="W6" s="660"/>
      <c r="X6" s="660"/>
      <c r="Y6" s="660"/>
    </row>
    <row r="7" spans="2:30" s="10" customFormat="1" ht="22.5" customHeight="1">
      <c r="B7" s="661" t="s">
        <v>2</v>
      </c>
      <c r="C7" s="662"/>
      <c r="D7" s="665" t="s">
        <v>120</v>
      </c>
      <c r="E7" s="667" t="s">
        <v>57</v>
      </c>
      <c r="F7" s="668"/>
      <c r="G7" s="669"/>
      <c r="H7" s="670" t="s">
        <v>133</v>
      </c>
      <c r="I7" s="672" t="s">
        <v>134</v>
      </c>
      <c r="J7" s="674" t="s">
        <v>135</v>
      </c>
      <c r="K7" s="676" t="s">
        <v>58</v>
      </c>
      <c r="L7" s="672"/>
      <c r="M7" s="672"/>
      <c r="N7" s="677"/>
      <c r="O7" s="678" t="s">
        <v>59</v>
      </c>
      <c r="P7" s="672"/>
      <c r="Q7" s="672"/>
      <c r="R7" s="677"/>
      <c r="S7" s="676" t="s">
        <v>60</v>
      </c>
      <c r="T7" s="672"/>
      <c r="U7" s="672"/>
      <c r="V7" s="679"/>
      <c r="W7" s="670" t="s">
        <v>136</v>
      </c>
      <c r="X7" s="674"/>
      <c r="Y7" s="669" t="s">
        <v>137</v>
      </c>
      <c r="Z7" s="9"/>
    </row>
    <row r="8" spans="2:30" s="10" customFormat="1" ht="22.5" customHeight="1" thickBot="1">
      <c r="B8" s="663"/>
      <c r="C8" s="664"/>
      <c r="D8" s="666"/>
      <c r="E8" s="25" t="s">
        <v>18</v>
      </c>
      <c r="F8" s="697" t="s">
        <v>19</v>
      </c>
      <c r="G8" s="698"/>
      <c r="H8" s="671"/>
      <c r="I8" s="673"/>
      <c r="J8" s="675"/>
      <c r="K8" s="699" t="s">
        <v>0</v>
      </c>
      <c r="L8" s="673"/>
      <c r="M8" s="673" t="s">
        <v>62</v>
      </c>
      <c r="N8" s="700"/>
      <c r="O8" s="701" t="s">
        <v>0</v>
      </c>
      <c r="P8" s="673"/>
      <c r="Q8" s="673" t="s">
        <v>62</v>
      </c>
      <c r="R8" s="700"/>
      <c r="S8" s="699" t="s">
        <v>0</v>
      </c>
      <c r="T8" s="673"/>
      <c r="U8" s="673" t="s">
        <v>62</v>
      </c>
      <c r="V8" s="702"/>
      <c r="W8" s="671"/>
      <c r="X8" s="675"/>
      <c r="Y8" s="696"/>
      <c r="AA8" s="680" t="s">
        <v>496</v>
      </c>
      <c r="AB8" s="680"/>
      <c r="AC8" s="680"/>
      <c r="AD8" s="680"/>
    </row>
    <row r="9" spans="2:30" ht="16.5" customHeight="1" thickBot="1">
      <c r="B9" s="681" t="s">
        <v>339</v>
      </c>
      <c r="C9" s="682"/>
      <c r="D9" s="687" t="s">
        <v>21</v>
      </c>
      <c r="E9" s="39" t="s">
        <v>12</v>
      </c>
      <c r="F9" s="690" t="s">
        <v>203</v>
      </c>
      <c r="G9" s="691"/>
      <c r="H9" s="40">
        <v>4</v>
      </c>
      <c r="I9" s="41" t="s">
        <v>340</v>
      </c>
      <c r="J9" s="170">
        <f>SUM(K9:V9)</f>
        <v>3</v>
      </c>
      <c r="K9" s="690">
        <v>3</v>
      </c>
      <c r="L9" s="692"/>
      <c r="M9" s="693"/>
      <c r="N9" s="694"/>
      <c r="O9" s="695"/>
      <c r="P9" s="692"/>
      <c r="Q9" s="693"/>
      <c r="R9" s="694"/>
      <c r="S9" s="695"/>
      <c r="T9" s="692"/>
      <c r="U9" s="693"/>
      <c r="V9" s="691"/>
      <c r="W9" s="43">
        <f>SUM(K9:V9)</f>
        <v>3</v>
      </c>
      <c r="X9" s="707">
        <f>SUM(W9:W11)</f>
        <v>9</v>
      </c>
      <c r="Y9" s="709">
        <v>24</v>
      </c>
      <c r="AA9" s="135" t="s">
        <v>18</v>
      </c>
      <c r="AB9" s="136" t="s">
        <v>501</v>
      </c>
      <c r="AC9" s="136" t="s">
        <v>502</v>
      </c>
      <c r="AD9" s="137" t="s">
        <v>503</v>
      </c>
    </row>
    <row r="10" spans="2:30" ht="18" thickBot="1">
      <c r="B10" s="683"/>
      <c r="C10" s="684"/>
      <c r="D10" s="688"/>
      <c r="E10" s="44" t="s">
        <v>12</v>
      </c>
      <c r="F10" s="710" t="s">
        <v>204</v>
      </c>
      <c r="G10" s="711"/>
      <c r="H10" s="45">
        <v>4</v>
      </c>
      <c r="I10" s="46" t="s">
        <v>340</v>
      </c>
      <c r="J10" s="47">
        <f>SUM(K10:V10)</f>
        <v>3</v>
      </c>
      <c r="K10" s="710"/>
      <c r="L10" s="712"/>
      <c r="M10" s="713">
        <v>3</v>
      </c>
      <c r="N10" s="714"/>
      <c r="O10" s="715"/>
      <c r="P10" s="712"/>
      <c r="Q10" s="713"/>
      <c r="R10" s="714"/>
      <c r="S10" s="715"/>
      <c r="T10" s="712"/>
      <c r="U10" s="713"/>
      <c r="V10" s="711"/>
      <c r="W10" s="48">
        <f t="shared" ref="W10:W23" si="0">SUM(K10:V10)</f>
        <v>3</v>
      </c>
      <c r="X10" s="708"/>
      <c r="Y10" s="709"/>
      <c r="AA10" s="138" t="s">
        <v>497</v>
      </c>
      <c r="AB10" s="139">
        <v>4</v>
      </c>
      <c r="AC10" s="139">
        <v>-1</v>
      </c>
      <c r="AD10" s="22" t="s">
        <v>340</v>
      </c>
    </row>
    <row r="11" spans="2:30" ht="18" thickBot="1">
      <c r="B11" s="683"/>
      <c r="C11" s="684"/>
      <c r="D11" s="689"/>
      <c r="E11" s="49" t="s">
        <v>341</v>
      </c>
      <c r="F11" s="716" t="s">
        <v>342</v>
      </c>
      <c r="G11" s="706"/>
      <c r="H11" s="50">
        <v>4</v>
      </c>
      <c r="I11" s="51" t="s">
        <v>343</v>
      </c>
      <c r="J11" s="149">
        <f t="shared" ref="J11:J32" si="1">SUM(K11:V11)</f>
        <v>3</v>
      </c>
      <c r="K11" s="716"/>
      <c r="L11" s="704"/>
      <c r="M11" s="705"/>
      <c r="N11" s="717"/>
      <c r="O11" s="703"/>
      <c r="P11" s="704"/>
      <c r="Q11" s="705">
        <v>3</v>
      </c>
      <c r="R11" s="717"/>
      <c r="S11" s="703"/>
      <c r="T11" s="704"/>
      <c r="U11" s="705"/>
      <c r="V11" s="706"/>
      <c r="W11" s="48">
        <f t="shared" si="0"/>
        <v>3</v>
      </c>
      <c r="X11" s="708"/>
      <c r="Y11" s="709"/>
      <c r="AA11" s="138" t="s">
        <v>498</v>
      </c>
      <c r="AB11" s="139">
        <v>3</v>
      </c>
      <c r="AC11" s="139"/>
      <c r="AD11" s="22">
        <v>3</v>
      </c>
    </row>
    <row r="12" spans="2:30" ht="18" thickBot="1">
      <c r="B12" s="683"/>
      <c r="C12" s="684"/>
      <c r="D12" s="687" t="s">
        <v>5</v>
      </c>
      <c r="E12" s="39" t="s">
        <v>12</v>
      </c>
      <c r="F12" s="690" t="s">
        <v>215</v>
      </c>
      <c r="G12" s="691"/>
      <c r="H12" s="40">
        <v>4</v>
      </c>
      <c r="I12" s="41" t="s">
        <v>340</v>
      </c>
      <c r="J12" s="42">
        <f t="shared" si="1"/>
        <v>3</v>
      </c>
      <c r="K12" s="690">
        <v>3</v>
      </c>
      <c r="L12" s="692"/>
      <c r="M12" s="693"/>
      <c r="N12" s="694"/>
      <c r="O12" s="695"/>
      <c r="P12" s="692"/>
      <c r="Q12" s="693"/>
      <c r="R12" s="694"/>
      <c r="S12" s="695"/>
      <c r="T12" s="692"/>
      <c r="U12" s="693"/>
      <c r="V12" s="691"/>
      <c r="W12" s="43">
        <f t="shared" si="0"/>
        <v>3</v>
      </c>
      <c r="X12" s="707">
        <f>SUM(W12:W13)</f>
        <v>6</v>
      </c>
      <c r="Y12" s="709"/>
      <c r="AA12" s="138" t="s">
        <v>499</v>
      </c>
      <c r="AB12" s="139">
        <v>4</v>
      </c>
      <c r="AC12" s="139" t="s">
        <v>504</v>
      </c>
      <c r="AD12" s="22" t="s">
        <v>343</v>
      </c>
    </row>
    <row r="13" spans="2:30" ht="18" thickBot="1">
      <c r="B13" s="683"/>
      <c r="C13" s="684"/>
      <c r="D13" s="688"/>
      <c r="E13" s="44" t="s">
        <v>12</v>
      </c>
      <c r="F13" s="710" t="s">
        <v>217</v>
      </c>
      <c r="G13" s="711"/>
      <c r="H13" s="45">
        <v>4</v>
      </c>
      <c r="I13" s="46" t="s">
        <v>340</v>
      </c>
      <c r="J13" s="171">
        <f t="shared" si="1"/>
        <v>3</v>
      </c>
      <c r="K13" s="710"/>
      <c r="L13" s="712"/>
      <c r="M13" s="713">
        <v>3</v>
      </c>
      <c r="N13" s="714"/>
      <c r="O13" s="715"/>
      <c r="P13" s="712"/>
      <c r="Q13" s="713"/>
      <c r="R13" s="714"/>
      <c r="S13" s="715"/>
      <c r="T13" s="712"/>
      <c r="U13" s="713"/>
      <c r="V13" s="711"/>
      <c r="W13" s="48">
        <f t="shared" si="0"/>
        <v>3</v>
      </c>
      <c r="X13" s="708"/>
      <c r="Y13" s="709"/>
      <c r="AA13" s="138" t="s">
        <v>500</v>
      </c>
      <c r="AB13" s="139">
        <v>3</v>
      </c>
      <c r="AC13" s="139" t="s">
        <v>504</v>
      </c>
      <c r="AD13" s="22" t="s">
        <v>348</v>
      </c>
    </row>
    <row r="14" spans="2:30" ht="18" thickBot="1">
      <c r="B14" s="683"/>
      <c r="C14" s="684"/>
      <c r="D14" s="687" t="s">
        <v>6</v>
      </c>
      <c r="E14" s="39" t="s">
        <v>12</v>
      </c>
      <c r="F14" s="690" t="s">
        <v>222</v>
      </c>
      <c r="G14" s="691"/>
      <c r="H14" s="40">
        <v>4</v>
      </c>
      <c r="I14" s="41" t="s">
        <v>340</v>
      </c>
      <c r="J14" s="172">
        <f t="shared" si="1"/>
        <v>3</v>
      </c>
      <c r="K14" s="690">
        <v>3</v>
      </c>
      <c r="L14" s="692"/>
      <c r="M14" s="693"/>
      <c r="N14" s="694"/>
      <c r="O14" s="695"/>
      <c r="P14" s="692"/>
      <c r="Q14" s="693"/>
      <c r="R14" s="694"/>
      <c r="S14" s="695"/>
      <c r="T14" s="692"/>
      <c r="U14" s="693"/>
      <c r="V14" s="691"/>
      <c r="W14" s="43">
        <f t="shared" si="0"/>
        <v>3</v>
      </c>
      <c r="X14" s="707">
        <f t="shared" ref="X14" si="2">SUM(W14:W16)</f>
        <v>9</v>
      </c>
      <c r="Y14" s="709"/>
    </row>
    <row r="15" spans="2:30" ht="18" thickBot="1">
      <c r="B15" s="683"/>
      <c r="C15" s="684"/>
      <c r="D15" s="688"/>
      <c r="E15" s="44" t="s">
        <v>12</v>
      </c>
      <c r="F15" s="710" t="s">
        <v>228</v>
      </c>
      <c r="G15" s="711"/>
      <c r="H15" s="45">
        <v>4</v>
      </c>
      <c r="I15" s="46" t="s">
        <v>340</v>
      </c>
      <c r="J15" s="47">
        <f t="shared" si="1"/>
        <v>3</v>
      </c>
      <c r="K15" s="710"/>
      <c r="L15" s="712"/>
      <c r="M15" s="713">
        <v>3</v>
      </c>
      <c r="N15" s="714"/>
      <c r="O15" s="715"/>
      <c r="P15" s="712"/>
      <c r="Q15" s="713"/>
      <c r="R15" s="714"/>
      <c r="S15" s="715"/>
      <c r="T15" s="712"/>
      <c r="U15" s="713"/>
      <c r="V15" s="711"/>
      <c r="W15" s="48">
        <f t="shared" si="0"/>
        <v>3</v>
      </c>
      <c r="X15" s="708"/>
      <c r="Y15" s="709"/>
    </row>
    <row r="16" spans="2:30" ht="18" thickBot="1">
      <c r="B16" s="683"/>
      <c r="C16" s="684"/>
      <c r="D16" s="689"/>
      <c r="E16" s="53" t="s">
        <v>341</v>
      </c>
      <c r="F16" s="716" t="s">
        <v>344</v>
      </c>
      <c r="G16" s="706"/>
      <c r="H16" s="50">
        <v>4</v>
      </c>
      <c r="I16" s="51" t="s">
        <v>343</v>
      </c>
      <c r="J16" s="47">
        <f t="shared" si="1"/>
        <v>3</v>
      </c>
      <c r="K16" s="716"/>
      <c r="L16" s="704"/>
      <c r="M16" s="705"/>
      <c r="N16" s="717"/>
      <c r="O16" s="703">
        <v>3</v>
      </c>
      <c r="P16" s="704"/>
      <c r="Q16" s="705"/>
      <c r="R16" s="717"/>
      <c r="S16" s="703"/>
      <c r="T16" s="704"/>
      <c r="U16" s="705"/>
      <c r="V16" s="706"/>
      <c r="W16" s="48">
        <f t="shared" si="0"/>
        <v>3</v>
      </c>
      <c r="X16" s="708"/>
      <c r="Y16" s="709"/>
    </row>
    <row r="17" spans="2:29" ht="18" thickBot="1">
      <c r="B17" s="683"/>
      <c r="C17" s="684"/>
      <c r="D17" s="687" t="s">
        <v>345</v>
      </c>
      <c r="E17" s="39" t="s">
        <v>12</v>
      </c>
      <c r="F17" s="690" t="s">
        <v>236</v>
      </c>
      <c r="G17" s="691"/>
      <c r="H17" s="40">
        <v>3</v>
      </c>
      <c r="I17" s="54">
        <v>3</v>
      </c>
      <c r="J17" s="170">
        <f t="shared" si="1"/>
        <v>3</v>
      </c>
      <c r="K17" s="718">
        <v>3</v>
      </c>
      <c r="L17" s="719"/>
      <c r="M17" s="720"/>
      <c r="N17" s="721"/>
      <c r="O17" s="722"/>
      <c r="P17" s="719"/>
      <c r="Q17" s="720"/>
      <c r="R17" s="721"/>
      <c r="S17" s="722"/>
      <c r="T17" s="719"/>
      <c r="U17" s="720"/>
      <c r="V17" s="723"/>
      <c r="W17" s="43">
        <f t="shared" si="0"/>
        <v>3</v>
      </c>
      <c r="X17" s="707">
        <f>SUM(W17:W18)</f>
        <v>6</v>
      </c>
      <c r="Y17" s="709">
        <v>6</v>
      </c>
    </row>
    <row r="18" spans="2:29" ht="18" thickBot="1">
      <c r="B18" s="683"/>
      <c r="C18" s="684"/>
      <c r="D18" s="688"/>
      <c r="E18" s="55" t="s">
        <v>12</v>
      </c>
      <c r="F18" s="716" t="s">
        <v>237</v>
      </c>
      <c r="G18" s="706"/>
      <c r="H18" s="56">
        <v>3</v>
      </c>
      <c r="I18" s="57">
        <v>3</v>
      </c>
      <c r="J18" s="52">
        <f t="shared" si="1"/>
        <v>3</v>
      </c>
      <c r="K18" s="716"/>
      <c r="L18" s="704"/>
      <c r="M18" s="705">
        <v>3</v>
      </c>
      <c r="N18" s="717"/>
      <c r="O18" s="703"/>
      <c r="P18" s="704"/>
      <c r="Q18" s="705"/>
      <c r="R18" s="717"/>
      <c r="S18" s="703"/>
      <c r="T18" s="704"/>
      <c r="U18" s="705"/>
      <c r="V18" s="706"/>
      <c r="W18" s="58">
        <f t="shared" si="0"/>
        <v>3</v>
      </c>
      <c r="X18" s="725"/>
      <c r="Y18" s="709"/>
      <c r="AA18" s="724"/>
      <c r="AB18" s="724"/>
      <c r="AC18" s="157"/>
    </row>
    <row r="19" spans="2:29" ht="18" thickBot="1">
      <c r="B19" s="683"/>
      <c r="C19" s="684"/>
      <c r="D19" s="688"/>
      <c r="E19" s="39" t="s">
        <v>12</v>
      </c>
      <c r="F19" s="690" t="s">
        <v>239</v>
      </c>
      <c r="G19" s="691"/>
      <c r="H19" s="40">
        <v>4</v>
      </c>
      <c r="I19" s="54" t="s">
        <v>340</v>
      </c>
      <c r="J19" s="42">
        <f t="shared" si="1"/>
        <v>3</v>
      </c>
      <c r="K19" s="690">
        <v>3</v>
      </c>
      <c r="L19" s="692"/>
      <c r="M19" s="693"/>
      <c r="N19" s="694"/>
      <c r="O19" s="695"/>
      <c r="P19" s="692"/>
      <c r="Q19" s="693"/>
      <c r="R19" s="694"/>
      <c r="S19" s="695"/>
      <c r="T19" s="692"/>
      <c r="U19" s="693"/>
      <c r="V19" s="691"/>
      <c r="W19" s="43">
        <f t="shared" si="0"/>
        <v>3</v>
      </c>
      <c r="X19" s="707">
        <f>SUM(W19:W20)</f>
        <v>6</v>
      </c>
      <c r="Y19" s="709">
        <v>12</v>
      </c>
    </row>
    <row r="20" spans="2:29" ht="18" thickBot="1">
      <c r="B20" s="683"/>
      <c r="C20" s="684"/>
      <c r="D20" s="689"/>
      <c r="E20" s="53" t="s">
        <v>12</v>
      </c>
      <c r="F20" s="716" t="s">
        <v>240</v>
      </c>
      <c r="G20" s="706"/>
      <c r="H20" s="50">
        <v>4</v>
      </c>
      <c r="I20" s="51" t="s">
        <v>340</v>
      </c>
      <c r="J20" s="150">
        <f t="shared" si="1"/>
        <v>3</v>
      </c>
      <c r="K20" s="716"/>
      <c r="L20" s="704"/>
      <c r="M20" s="705">
        <v>3</v>
      </c>
      <c r="N20" s="717"/>
      <c r="O20" s="703"/>
      <c r="P20" s="704"/>
      <c r="Q20" s="705"/>
      <c r="R20" s="717"/>
      <c r="S20" s="703"/>
      <c r="T20" s="704"/>
      <c r="U20" s="705"/>
      <c r="V20" s="706"/>
      <c r="W20" s="58">
        <f t="shared" si="0"/>
        <v>3</v>
      </c>
      <c r="X20" s="725"/>
      <c r="Y20" s="709"/>
    </row>
    <row r="21" spans="2:29" ht="18" thickBot="1">
      <c r="B21" s="683"/>
      <c r="C21" s="684"/>
      <c r="D21" s="687" t="s">
        <v>26</v>
      </c>
      <c r="E21" s="39" t="s">
        <v>12</v>
      </c>
      <c r="F21" s="690" t="s">
        <v>257</v>
      </c>
      <c r="G21" s="691"/>
      <c r="H21" s="40">
        <v>4</v>
      </c>
      <c r="I21" s="54" t="s">
        <v>340</v>
      </c>
      <c r="J21" s="42">
        <f t="shared" si="1"/>
        <v>3</v>
      </c>
      <c r="K21" s="690">
        <v>3</v>
      </c>
      <c r="L21" s="692"/>
      <c r="M21" s="693"/>
      <c r="N21" s="694"/>
      <c r="O21" s="695"/>
      <c r="P21" s="692"/>
      <c r="Q21" s="693"/>
      <c r="R21" s="694"/>
      <c r="S21" s="695"/>
      <c r="T21" s="692"/>
      <c r="U21" s="693"/>
      <c r="V21" s="691"/>
      <c r="W21" s="43">
        <f t="shared" si="0"/>
        <v>3</v>
      </c>
      <c r="X21" s="682">
        <f>SUM(W21:W23)</f>
        <v>9</v>
      </c>
      <c r="Y21" s="709"/>
    </row>
    <row r="22" spans="2:29" ht="18" thickBot="1">
      <c r="B22" s="683"/>
      <c r="C22" s="684"/>
      <c r="D22" s="688"/>
      <c r="E22" s="49" t="s">
        <v>12</v>
      </c>
      <c r="F22" s="710" t="s">
        <v>258</v>
      </c>
      <c r="G22" s="711"/>
      <c r="H22" s="45">
        <v>4</v>
      </c>
      <c r="I22" s="46" t="s">
        <v>340</v>
      </c>
      <c r="J22" s="150">
        <f t="shared" si="1"/>
        <v>3</v>
      </c>
      <c r="K22" s="710"/>
      <c r="L22" s="712"/>
      <c r="M22" s="713"/>
      <c r="N22" s="714"/>
      <c r="O22" s="715">
        <v>3</v>
      </c>
      <c r="P22" s="712"/>
      <c r="Q22" s="713"/>
      <c r="R22" s="714"/>
      <c r="S22" s="715"/>
      <c r="T22" s="712"/>
      <c r="U22" s="713"/>
      <c r="V22" s="711"/>
      <c r="W22" s="196">
        <f>SUM(K22:V22)</f>
        <v>3</v>
      </c>
      <c r="X22" s="684"/>
      <c r="Y22" s="709"/>
    </row>
    <row r="23" spans="2:29" ht="18" thickBot="1">
      <c r="B23" s="683"/>
      <c r="C23" s="684"/>
      <c r="D23" s="688"/>
      <c r="E23" s="44" t="s">
        <v>346</v>
      </c>
      <c r="F23" s="710" t="s">
        <v>261</v>
      </c>
      <c r="G23" s="711"/>
      <c r="H23" s="45">
        <v>4</v>
      </c>
      <c r="I23" s="46" t="s">
        <v>343</v>
      </c>
      <c r="J23" s="150">
        <f t="shared" si="1"/>
        <v>3</v>
      </c>
      <c r="K23" s="710"/>
      <c r="L23" s="712"/>
      <c r="M23" s="713"/>
      <c r="N23" s="714"/>
      <c r="O23" s="715"/>
      <c r="P23" s="712"/>
      <c r="Q23" s="713">
        <v>3</v>
      </c>
      <c r="R23" s="714"/>
      <c r="S23" s="715"/>
      <c r="T23" s="712"/>
      <c r="U23" s="713"/>
      <c r="V23" s="711"/>
      <c r="W23" s="48">
        <f t="shared" si="0"/>
        <v>3</v>
      </c>
      <c r="X23" s="684"/>
      <c r="Y23" s="709"/>
    </row>
    <row r="24" spans="2:29" ht="16.5" customHeight="1" thickBot="1">
      <c r="B24" s="683"/>
      <c r="C24" s="684"/>
      <c r="D24" s="687" t="s">
        <v>8</v>
      </c>
      <c r="E24" s="39" t="s">
        <v>346</v>
      </c>
      <c r="F24" s="690" t="s">
        <v>347</v>
      </c>
      <c r="G24" s="691"/>
      <c r="H24" s="40">
        <v>3</v>
      </c>
      <c r="I24" s="54" t="s">
        <v>348</v>
      </c>
      <c r="J24" s="170">
        <f t="shared" si="1"/>
        <v>2</v>
      </c>
      <c r="K24" s="690">
        <v>2</v>
      </c>
      <c r="L24" s="692"/>
      <c r="M24" s="693"/>
      <c r="N24" s="694"/>
      <c r="O24" s="695"/>
      <c r="P24" s="692"/>
      <c r="Q24" s="693"/>
      <c r="R24" s="694"/>
      <c r="S24" s="695"/>
      <c r="T24" s="692"/>
      <c r="U24" s="693"/>
      <c r="V24" s="691"/>
      <c r="W24" s="43">
        <f>SUM(K24:V24)</f>
        <v>2</v>
      </c>
      <c r="X24" s="726">
        <f>SUM(W24:W28)</f>
        <v>8</v>
      </c>
      <c r="Y24" s="709">
        <v>8</v>
      </c>
    </row>
    <row r="25" spans="2:29" ht="18" thickBot="1">
      <c r="B25" s="683"/>
      <c r="C25" s="684"/>
      <c r="D25" s="688"/>
      <c r="E25" s="44" t="s">
        <v>346</v>
      </c>
      <c r="F25" s="710" t="s">
        <v>349</v>
      </c>
      <c r="G25" s="711"/>
      <c r="H25" s="45">
        <v>3</v>
      </c>
      <c r="I25" s="46" t="s">
        <v>348</v>
      </c>
      <c r="J25" s="47">
        <f t="shared" si="1"/>
        <v>2</v>
      </c>
      <c r="K25" s="710"/>
      <c r="L25" s="712"/>
      <c r="M25" s="713">
        <v>2</v>
      </c>
      <c r="N25" s="714"/>
      <c r="O25" s="715"/>
      <c r="P25" s="712"/>
      <c r="Q25" s="713"/>
      <c r="R25" s="714"/>
      <c r="S25" s="715"/>
      <c r="T25" s="712"/>
      <c r="U25" s="713"/>
      <c r="V25" s="711"/>
      <c r="W25" s="48">
        <f t="shared" ref="W25:W28" si="3">SUM(K25:V25)</f>
        <v>2</v>
      </c>
      <c r="X25" s="727"/>
      <c r="Y25" s="709"/>
    </row>
    <row r="26" spans="2:29" ht="18" thickBot="1">
      <c r="B26" s="683"/>
      <c r="C26" s="684"/>
      <c r="D26" s="688"/>
      <c r="E26" s="44" t="s">
        <v>341</v>
      </c>
      <c r="F26" s="710" t="s">
        <v>364</v>
      </c>
      <c r="G26" s="711"/>
      <c r="H26" s="45">
        <v>2</v>
      </c>
      <c r="I26" s="46" t="s">
        <v>350</v>
      </c>
      <c r="J26" s="47">
        <f t="shared" si="1"/>
        <v>1</v>
      </c>
      <c r="K26" s="710"/>
      <c r="L26" s="712"/>
      <c r="M26" s="713"/>
      <c r="N26" s="714"/>
      <c r="O26" s="715">
        <v>1</v>
      </c>
      <c r="P26" s="712"/>
      <c r="Q26" s="713"/>
      <c r="R26" s="714"/>
      <c r="S26" s="715"/>
      <c r="T26" s="712"/>
      <c r="U26" s="713"/>
      <c r="V26" s="711"/>
      <c r="W26" s="48">
        <f t="shared" si="3"/>
        <v>1</v>
      </c>
      <c r="X26" s="727"/>
      <c r="Y26" s="709"/>
    </row>
    <row r="27" spans="2:29" ht="18" thickBot="1">
      <c r="B27" s="683"/>
      <c r="C27" s="684"/>
      <c r="D27" s="688"/>
      <c r="E27" s="44" t="s">
        <v>341</v>
      </c>
      <c r="F27" s="710" t="s">
        <v>515</v>
      </c>
      <c r="G27" s="711"/>
      <c r="H27" s="45">
        <v>3</v>
      </c>
      <c r="I27" s="46" t="s">
        <v>348</v>
      </c>
      <c r="J27" s="47">
        <f t="shared" si="1"/>
        <v>2</v>
      </c>
      <c r="K27" s="710"/>
      <c r="L27" s="712"/>
      <c r="M27" s="713"/>
      <c r="N27" s="714"/>
      <c r="O27" s="715"/>
      <c r="P27" s="712"/>
      <c r="Q27" s="713">
        <v>2</v>
      </c>
      <c r="R27" s="714"/>
      <c r="S27" s="715"/>
      <c r="T27" s="712"/>
      <c r="U27" s="713"/>
      <c r="V27" s="711"/>
      <c r="W27" s="48">
        <f t="shared" si="3"/>
        <v>2</v>
      </c>
      <c r="X27" s="727"/>
      <c r="Y27" s="709"/>
    </row>
    <row r="28" spans="2:29" ht="18" thickBot="1">
      <c r="B28" s="683"/>
      <c r="C28" s="684"/>
      <c r="D28" s="689"/>
      <c r="E28" s="53" t="s">
        <v>341</v>
      </c>
      <c r="F28" s="716" t="s">
        <v>516</v>
      </c>
      <c r="G28" s="706"/>
      <c r="H28" s="50">
        <v>2</v>
      </c>
      <c r="I28" s="51" t="s">
        <v>350</v>
      </c>
      <c r="J28" s="52">
        <f t="shared" si="1"/>
        <v>1</v>
      </c>
      <c r="K28" s="716"/>
      <c r="L28" s="704"/>
      <c r="M28" s="705"/>
      <c r="N28" s="717"/>
      <c r="O28" s="703"/>
      <c r="P28" s="704"/>
      <c r="Q28" s="705"/>
      <c r="R28" s="717"/>
      <c r="S28" s="703">
        <v>1</v>
      </c>
      <c r="T28" s="704"/>
      <c r="U28" s="705"/>
      <c r="V28" s="706"/>
      <c r="W28" s="58">
        <f t="shared" si="3"/>
        <v>1</v>
      </c>
      <c r="X28" s="728"/>
      <c r="Y28" s="709"/>
    </row>
    <row r="29" spans="2:29" ht="18" thickBot="1">
      <c r="B29" s="683"/>
      <c r="C29" s="684"/>
      <c r="D29" s="687" t="s">
        <v>28</v>
      </c>
      <c r="E29" s="39" t="s">
        <v>346</v>
      </c>
      <c r="F29" s="690" t="s">
        <v>47</v>
      </c>
      <c r="G29" s="691"/>
      <c r="H29" s="40">
        <v>3</v>
      </c>
      <c r="I29" s="59" t="s">
        <v>348</v>
      </c>
      <c r="J29" s="42">
        <f t="shared" si="1"/>
        <v>3</v>
      </c>
      <c r="K29" s="690"/>
      <c r="L29" s="692"/>
      <c r="M29" s="693"/>
      <c r="N29" s="694"/>
      <c r="O29" s="695">
        <v>3</v>
      </c>
      <c r="P29" s="692"/>
      <c r="Q29" s="693"/>
      <c r="R29" s="694"/>
      <c r="S29" s="695"/>
      <c r="T29" s="692"/>
      <c r="U29" s="693"/>
      <c r="V29" s="691"/>
      <c r="W29" s="729">
        <f>SUM(K29:V30)</f>
        <v>6</v>
      </c>
      <c r="X29" s="730"/>
      <c r="Y29" s="709">
        <v>6</v>
      </c>
    </row>
    <row r="30" spans="2:29" ht="18" thickBot="1">
      <c r="B30" s="683"/>
      <c r="C30" s="684"/>
      <c r="D30" s="688"/>
      <c r="E30" s="49" t="s">
        <v>341</v>
      </c>
      <c r="F30" s="716" t="s">
        <v>285</v>
      </c>
      <c r="G30" s="706"/>
      <c r="H30" s="45">
        <v>3</v>
      </c>
      <c r="I30" s="46" t="s">
        <v>348</v>
      </c>
      <c r="J30" s="172">
        <f t="shared" si="1"/>
        <v>3</v>
      </c>
      <c r="K30" s="710"/>
      <c r="L30" s="712"/>
      <c r="M30" s="713"/>
      <c r="N30" s="714"/>
      <c r="O30" s="715"/>
      <c r="P30" s="712"/>
      <c r="Q30" s="713">
        <v>3</v>
      </c>
      <c r="R30" s="714"/>
      <c r="S30" s="715"/>
      <c r="T30" s="712"/>
      <c r="U30" s="713"/>
      <c r="V30" s="711"/>
      <c r="W30" s="731"/>
      <c r="X30" s="732"/>
      <c r="Y30" s="709"/>
    </row>
    <row r="31" spans="2:29" ht="16.5" customHeight="1" thickBot="1">
      <c r="B31" s="683"/>
      <c r="C31" s="684"/>
      <c r="D31" s="733" t="s">
        <v>351</v>
      </c>
      <c r="E31" s="39" t="s">
        <v>346</v>
      </c>
      <c r="F31" s="690" t="s">
        <v>567</v>
      </c>
      <c r="G31" s="691"/>
      <c r="H31" s="40">
        <v>4</v>
      </c>
      <c r="I31" s="54" t="s">
        <v>343</v>
      </c>
      <c r="J31" s="170">
        <f t="shared" si="1"/>
        <v>3</v>
      </c>
      <c r="K31" s="690">
        <v>3</v>
      </c>
      <c r="L31" s="692"/>
      <c r="M31" s="693"/>
      <c r="N31" s="694"/>
      <c r="O31" s="695"/>
      <c r="P31" s="692"/>
      <c r="Q31" s="693"/>
      <c r="R31" s="694"/>
      <c r="S31" s="695"/>
      <c r="T31" s="692"/>
      <c r="U31" s="693"/>
      <c r="V31" s="691"/>
      <c r="W31" s="729">
        <f>SUM(K31:V33)</f>
        <v>9</v>
      </c>
      <c r="X31" s="730"/>
      <c r="Y31" s="709">
        <v>8</v>
      </c>
    </row>
    <row r="32" spans="2:29" ht="27.6" customHeight="1" thickBot="1">
      <c r="B32" s="683"/>
      <c r="C32" s="684"/>
      <c r="D32" s="734"/>
      <c r="E32" s="49" t="s">
        <v>341</v>
      </c>
      <c r="F32" s="752" t="s">
        <v>609</v>
      </c>
      <c r="G32" s="760"/>
      <c r="H32" s="45">
        <v>4</v>
      </c>
      <c r="I32" s="46" t="s">
        <v>343</v>
      </c>
      <c r="J32" s="47">
        <f t="shared" si="1"/>
        <v>3</v>
      </c>
      <c r="K32" s="710"/>
      <c r="L32" s="712"/>
      <c r="M32" s="713"/>
      <c r="N32" s="714"/>
      <c r="O32" s="715"/>
      <c r="P32" s="712"/>
      <c r="Q32" s="713"/>
      <c r="R32" s="714"/>
      <c r="S32" s="715">
        <v>3</v>
      </c>
      <c r="T32" s="712"/>
      <c r="U32" s="713"/>
      <c r="V32" s="711"/>
      <c r="W32" s="731"/>
      <c r="X32" s="732"/>
      <c r="Y32" s="709"/>
    </row>
    <row r="33" spans="2:29" ht="18" customHeight="1" thickBot="1">
      <c r="B33" s="685"/>
      <c r="C33" s="686"/>
      <c r="D33" s="734"/>
      <c r="E33" s="49" t="s">
        <v>346</v>
      </c>
      <c r="F33" s="747" t="s">
        <v>568</v>
      </c>
      <c r="G33" s="748"/>
      <c r="H33" s="50">
        <v>4</v>
      </c>
      <c r="I33" s="51" t="s">
        <v>343</v>
      </c>
      <c r="J33" s="47">
        <v>3</v>
      </c>
      <c r="K33" s="716">
        <v>3</v>
      </c>
      <c r="L33" s="704"/>
      <c r="M33" s="705"/>
      <c r="N33" s="717"/>
      <c r="O33" s="715"/>
      <c r="P33" s="712"/>
      <c r="Q33" s="713"/>
      <c r="R33" s="714"/>
      <c r="S33" s="715"/>
      <c r="T33" s="712"/>
      <c r="U33" s="713"/>
      <c r="V33" s="711"/>
      <c r="W33" s="731"/>
      <c r="X33" s="732"/>
      <c r="Y33" s="709"/>
    </row>
    <row r="34" spans="2:29" ht="24.75" customHeight="1" thickBot="1">
      <c r="B34" s="739" t="s">
        <v>358</v>
      </c>
      <c r="C34" s="740"/>
      <c r="D34" s="740"/>
      <c r="E34" s="740"/>
      <c r="F34" s="740"/>
      <c r="G34" s="741"/>
      <c r="H34" s="159">
        <f>SUM(H9:H33)</f>
        <v>89</v>
      </c>
      <c r="I34" s="18"/>
      <c r="J34" s="168">
        <f>SUM(J9:J33)</f>
        <v>68</v>
      </c>
      <c r="K34" s="742">
        <f>SUM(K9:L33)</f>
        <v>26</v>
      </c>
      <c r="L34" s="743"/>
      <c r="M34" s="743">
        <f>SUM(M9:N33)</f>
        <v>17</v>
      </c>
      <c r="N34" s="744"/>
      <c r="O34" s="745">
        <f>SUM(O9:P33)</f>
        <v>10</v>
      </c>
      <c r="P34" s="743"/>
      <c r="Q34" s="743">
        <f>SUM(Q9:R33)</f>
        <v>11</v>
      </c>
      <c r="R34" s="746"/>
      <c r="S34" s="758">
        <f>SUM(S9:T33)</f>
        <v>4</v>
      </c>
      <c r="T34" s="743"/>
      <c r="U34" s="743">
        <f>SUM(U9:V33)</f>
        <v>0</v>
      </c>
      <c r="V34" s="759"/>
      <c r="W34" s="739">
        <f>SUM(K34:V34)</f>
        <v>68</v>
      </c>
      <c r="X34" s="758"/>
      <c r="Y34" s="168">
        <f>SUM(Y9:Y33)</f>
        <v>64</v>
      </c>
      <c r="AA34" s="735" t="b">
        <f>W34&gt;=Y34</f>
        <v>1</v>
      </c>
      <c r="AB34" s="736"/>
    </row>
    <row r="35" spans="2:29" ht="17.25" customHeight="1">
      <c r="B35" s="737" t="s">
        <v>352</v>
      </c>
      <c r="C35" s="738"/>
      <c r="D35" s="60" t="s">
        <v>355</v>
      </c>
      <c r="E35" s="61" t="s">
        <v>353</v>
      </c>
      <c r="F35" s="750" t="s">
        <v>569</v>
      </c>
      <c r="G35" s="751"/>
      <c r="H35" s="180" t="s">
        <v>522</v>
      </c>
      <c r="I35" s="199" t="s">
        <v>524</v>
      </c>
      <c r="J35" s="150">
        <v>3</v>
      </c>
      <c r="K35" s="710">
        <v>3</v>
      </c>
      <c r="L35" s="712"/>
      <c r="M35" s="713"/>
      <c r="N35" s="841"/>
      <c r="O35" s="715"/>
      <c r="P35" s="712"/>
      <c r="Q35" s="713"/>
      <c r="R35" s="714"/>
      <c r="S35" s="841"/>
      <c r="T35" s="712"/>
      <c r="U35" s="713"/>
      <c r="V35" s="711"/>
      <c r="W35" s="761">
        <f t="shared" ref="W35:W38" si="4">SUM(K35:V35)</f>
        <v>3</v>
      </c>
      <c r="X35" s="762"/>
      <c r="Y35" s="749">
        <v>80</v>
      </c>
    </row>
    <row r="36" spans="2:29" ht="17.25" customHeight="1">
      <c r="B36" s="737"/>
      <c r="C36" s="738"/>
      <c r="D36" s="60" t="s">
        <v>355</v>
      </c>
      <c r="E36" s="61" t="s">
        <v>353</v>
      </c>
      <c r="F36" s="772" t="s">
        <v>570</v>
      </c>
      <c r="G36" s="773"/>
      <c r="H36" s="180" t="s">
        <v>524</v>
      </c>
      <c r="I36" s="199" t="s">
        <v>524</v>
      </c>
      <c r="J36" s="150">
        <f>SUM(K36:V36)</f>
        <v>8</v>
      </c>
      <c r="K36" s="710"/>
      <c r="L36" s="712"/>
      <c r="M36" s="905"/>
      <c r="N36" s="906"/>
      <c r="O36" s="715">
        <v>8</v>
      </c>
      <c r="P36" s="712"/>
      <c r="Q36" s="713"/>
      <c r="R36" s="714"/>
      <c r="S36" s="715"/>
      <c r="T36" s="712"/>
      <c r="U36" s="713"/>
      <c r="V36" s="711"/>
      <c r="W36" s="761">
        <f t="shared" si="4"/>
        <v>8</v>
      </c>
      <c r="X36" s="762"/>
      <c r="Y36" s="749"/>
    </row>
    <row r="37" spans="2:29" ht="17.25" customHeight="1">
      <c r="B37" s="737"/>
      <c r="C37" s="738"/>
      <c r="D37" s="60" t="s">
        <v>355</v>
      </c>
      <c r="E37" s="61" t="s">
        <v>353</v>
      </c>
      <c r="F37" s="772" t="s">
        <v>571</v>
      </c>
      <c r="G37" s="773"/>
      <c r="H37" s="180" t="s">
        <v>524</v>
      </c>
      <c r="I37" s="199" t="s">
        <v>524</v>
      </c>
      <c r="J37" s="150">
        <f>SUM(K37:V37)</f>
        <v>7</v>
      </c>
      <c r="K37" s="710"/>
      <c r="L37" s="712"/>
      <c r="M37" s="713"/>
      <c r="N37" s="714"/>
      <c r="O37" s="715"/>
      <c r="P37" s="712"/>
      <c r="Q37" s="713">
        <v>7</v>
      </c>
      <c r="R37" s="714"/>
      <c r="S37" s="715"/>
      <c r="T37" s="712"/>
      <c r="U37" s="713"/>
      <c r="V37" s="711"/>
      <c r="W37" s="761">
        <f t="shared" si="4"/>
        <v>7</v>
      </c>
      <c r="X37" s="762"/>
      <c r="Y37" s="749"/>
    </row>
    <row r="38" spans="2:29" ht="17.25" customHeight="1" thickBot="1">
      <c r="B38" s="737"/>
      <c r="C38" s="738"/>
      <c r="D38" s="60" t="s">
        <v>355</v>
      </c>
      <c r="E38" s="182" t="s">
        <v>354</v>
      </c>
      <c r="F38" s="776" t="s">
        <v>572</v>
      </c>
      <c r="G38" s="777"/>
      <c r="H38" s="180" t="s">
        <v>522</v>
      </c>
      <c r="I38" s="199" t="s">
        <v>522</v>
      </c>
      <c r="J38" s="150">
        <f>SUM(K38:V38)</f>
        <v>11</v>
      </c>
      <c r="K38" s="710"/>
      <c r="L38" s="712"/>
      <c r="M38" s="713"/>
      <c r="N38" s="714"/>
      <c r="O38" s="715"/>
      <c r="P38" s="712"/>
      <c r="Q38" s="713"/>
      <c r="R38" s="714"/>
      <c r="S38" s="715"/>
      <c r="T38" s="712"/>
      <c r="U38" s="713">
        <v>11</v>
      </c>
      <c r="V38" s="711"/>
      <c r="W38" s="761">
        <f t="shared" si="4"/>
        <v>11</v>
      </c>
      <c r="X38" s="762"/>
      <c r="Y38" s="749"/>
    </row>
    <row r="39" spans="2:29" ht="20.25" customHeight="1">
      <c r="B39" s="799" t="s">
        <v>154</v>
      </c>
      <c r="C39" s="801" t="s">
        <v>593</v>
      </c>
      <c r="D39" s="178" t="s">
        <v>68</v>
      </c>
      <c r="E39" s="65" t="s">
        <v>353</v>
      </c>
      <c r="F39" s="778" t="s">
        <v>523</v>
      </c>
      <c r="G39" s="779"/>
      <c r="H39" s="40" t="s">
        <v>522</v>
      </c>
      <c r="I39" s="179" t="s">
        <v>524</v>
      </c>
      <c r="J39" s="42">
        <f>SUM(K39:V39)</f>
        <v>3</v>
      </c>
      <c r="K39" s="690"/>
      <c r="L39" s="692"/>
      <c r="M39" s="693">
        <v>3</v>
      </c>
      <c r="N39" s="775"/>
      <c r="O39" s="695"/>
      <c r="P39" s="692"/>
      <c r="Q39" s="693"/>
      <c r="R39" s="694"/>
      <c r="S39" s="775"/>
      <c r="T39" s="692"/>
      <c r="U39" s="693"/>
      <c r="V39" s="691"/>
      <c r="W39" s="835">
        <f>SUM(K39:V39)</f>
        <v>3</v>
      </c>
      <c r="X39" s="836"/>
      <c r="Y39" s="749"/>
    </row>
    <row r="40" spans="2:29" ht="20.25" customHeight="1">
      <c r="B40" s="800"/>
      <c r="C40" s="802"/>
      <c r="D40" s="63" t="s">
        <v>68</v>
      </c>
      <c r="E40" s="68" t="s">
        <v>354</v>
      </c>
      <c r="F40" s="776" t="s">
        <v>525</v>
      </c>
      <c r="G40" s="777"/>
      <c r="H40" s="180" t="s">
        <v>522</v>
      </c>
      <c r="I40" s="181" t="s">
        <v>524</v>
      </c>
      <c r="J40" s="47">
        <f>SUM(K40:V40)</f>
        <v>10</v>
      </c>
      <c r="K40" s="710"/>
      <c r="L40" s="712"/>
      <c r="M40" s="713">
        <v>4</v>
      </c>
      <c r="N40" s="714"/>
      <c r="O40" s="715">
        <v>6</v>
      </c>
      <c r="P40" s="712"/>
      <c r="Q40" s="713"/>
      <c r="R40" s="714"/>
      <c r="S40" s="715"/>
      <c r="T40" s="712"/>
      <c r="U40" s="713"/>
      <c r="V40" s="711"/>
      <c r="W40" s="763">
        <f>SUM(K40:V40)</f>
        <v>10</v>
      </c>
      <c r="X40" s="764"/>
      <c r="Y40" s="749"/>
    </row>
    <row r="41" spans="2:29" ht="16.5" customHeight="1">
      <c r="B41" s="800"/>
      <c r="C41" s="802"/>
      <c r="D41" s="62" t="s">
        <v>68</v>
      </c>
      <c r="E41" s="68" t="s">
        <v>354</v>
      </c>
      <c r="F41" s="776" t="s">
        <v>526</v>
      </c>
      <c r="G41" s="777"/>
      <c r="H41" s="180" t="s">
        <v>522</v>
      </c>
      <c r="I41" s="181" t="s">
        <v>524</v>
      </c>
      <c r="J41" s="150">
        <f t="shared" ref="J41:J45" si="5">SUM(K41:V41)</f>
        <v>10</v>
      </c>
      <c r="K41" s="710"/>
      <c r="L41" s="712"/>
      <c r="M41" s="713">
        <v>5</v>
      </c>
      <c r="N41" s="714"/>
      <c r="O41" s="715">
        <v>5</v>
      </c>
      <c r="P41" s="712"/>
      <c r="Q41" s="713"/>
      <c r="R41" s="714"/>
      <c r="S41" s="715"/>
      <c r="T41" s="712"/>
      <c r="U41" s="713"/>
      <c r="V41" s="711"/>
      <c r="W41" s="761">
        <f t="shared" ref="W41:W61" si="6">SUM(K41:V41)</f>
        <v>10</v>
      </c>
      <c r="X41" s="762"/>
      <c r="Y41" s="749"/>
    </row>
    <row r="42" spans="2:29" ht="16.5" customHeight="1">
      <c r="B42" s="800"/>
      <c r="C42" s="802"/>
      <c r="D42" s="62" t="s">
        <v>68</v>
      </c>
      <c r="E42" s="68" t="s">
        <v>354</v>
      </c>
      <c r="F42" s="776" t="s">
        <v>527</v>
      </c>
      <c r="G42" s="777"/>
      <c r="H42" s="180" t="s">
        <v>522</v>
      </c>
      <c r="I42" s="181" t="s">
        <v>524</v>
      </c>
      <c r="J42" s="172">
        <f t="shared" si="5"/>
        <v>8</v>
      </c>
      <c r="K42" s="710"/>
      <c r="L42" s="712"/>
      <c r="M42" s="713"/>
      <c r="N42" s="714"/>
      <c r="O42" s="715"/>
      <c r="P42" s="712"/>
      <c r="Q42" s="713">
        <v>8</v>
      </c>
      <c r="R42" s="714"/>
      <c r="S42" s="715"/>
      <c r="T42" s="712"/>
      <c r="U42" s="713"/>
      <c r="V42" s="711"/>
      <c r="W42" s="761">
        <f t="shared" si="6"/>
        <v>8</v>
      </c>
      <c r="X42" s="762"/>
      <c r="Y42" s="749"/>
    </row>
    <row r="43" spans="2:29">
      <c r="B43" s="800"/>
      <c r="C43" s="802"/>
      <c r="D43" s="62" t="s">
        <v>68</v>
      </c>
      <c r="E43" s="68" t="s">
        <v>354</v>
      </c>
      <c r="F43" s="776" t="s">
        <v>528</v>
      </c>
      <c r="G43" s="777"/>
      <c r="H43" s="180" t="s">
        <v>522</v>
      </c>
      <c r="I43" s="181" t="s">
        <v>524</v>
      </c>
      <c r="J43" s="47">
        <f t="shared" si="5"/>
        <v>13</v>
      </c>
      <c r="K43" s="710"/>
      <c r="L43" s="712"/>
      <c r="M43" s="713"/>
      <c r="N43" s="714"/>
      <c r="O43" s="715"/>
      <c r="P43" s="712"/>
      <c r="Q43" s="713">
        <v>3</v>
      </c>
      <c r="R43" s="714"/>
      <c r="S43" s="715">
        <v>10</v>
      </c>
      <c r="T43" s="712"/>
      <c r="U43" s="713"/>
      <c r="V43" s="711"/>
      <c r="W43" s="837">
        <f t="shared" si="6"/>
        <v>13</v>
      </c>
      <c r="X43" s="838"/>
      <c r="Y43" s="749"/>
    </row>
    <row r="44" spans="2:29">
      <c r="B44" s="800"/>
      <c r="C44" s="802"/>
      <c r="D44" s="60" t="s">
        <v>68</v>
      </c>
      <c r="E44" s="182" t="s">
        <v>354</v>
      </c>
      <c r="F44" s="776" t="s">
        <v>529</v>
      </c>
      <c r="G44" s="777"/>
      <c r="H44" s="180" t="s">
        <v>522</v>
      </c>
      <c r="I44" s="181" t="s">
        <v>524</v>
      </c>
      <c r="J44" s="172">
        <f t="shared" si="5"/>
        <v>18</v>
      </c>
      <c r="K44" s="780"/>
      <c r="L44" s="781"/>
      <c r="M44" s="782"/>
      <c r="N44" s="783"/>
      <c r="O44" s="784"/>
      <c r="P44" s="781"/>
      <c r="Q44" s="782"/>
      <c r="R44" s="783"/>
      <c r="S44" s="784">
        <v>7</v>
      </c>
      <c r="T44" s="781"/>
      <c r="U44" s="782">
        <v>11</v>
      </c>
      <c r="V44" s="787"/>
      <c r="W44" s="761">
        <f t="shared" si="6"/>
        <v>18</v>
      </c>
      <c r="X44" s="762"/>
      <c r="Y44" s="749"/>
    </row>
    <row r="45" spans="2:29" ht="18" thickBot="1">
      <c r="B45" s="800"/>
      <c r="C45" s="802"/>
      <c r="D45" s="62" t="s">
        <v>68</v>
      </c>
      <c r="E45" s="61" t="s">
        <v>354</v>
      </c>
      <c r="F45" s="776" t="s">
        <v>530</v>
      </c>
      <c r="G45" s="777"/>
      <c r="H45" s="45" t="s">
        <v>522</v>
      </c>
      <c r="I45" s="181" t="s">
        <v>522</v>
      </c>
      <c r="J45" s="52">
        <f t="shared" si="5"/>
        <v>15</v>
      </c>
      <c r="K45" s="710"/>
      <c r="L45" s="712"/>
      <c r="M45" s="713"/>
      <c r="N45" s="714"/>
      <c r="O45" s="715"/>
      <c r="P45" s="712"/>
      <c r="Q45" s="713"/>
      <c r="R45" s="714"/>
      <c r="S45" s="715">
        <v>8</v>
      </c>
      <c r="T45" s="712"/>
      <c r="U45" s="713">
        <v>7</v>
      </c>
      <c r="V45" s="711"/>
      <c r="W45" s="837">
        <f t="shared" si="6"/>
        <v>15</v>
      </c>
      <c r="X45" s="838"/>
      <c r="Y45" s="749"/>
    </row>
    <row r="46" spans="2:29" ht="17.399999999999999" customHeight="1">
      <c r="B46" s="800"/>
      <c r="C46" s="801" t="s">
        <v>574</v>
      </c>
      <c r="D46" s="69" t="s">
        <v>355</v>
      </c>
      <c r="E46" s="213" t="s">
        <v>353</v>
      </c>
      <c r="F46" s="910" t="s">
        <v>576</v>
      </c>
      <c r="G46" s="911"/>
      <c r="H46" s="40" t="s">
        <v>522</v>
      </c>
      <c r="I46" s="198" t="s">
        <v>522</v>
      </c>
      <c r="J46" s="150">
        <v>3</v>
      </c>
      <c r="K46" s="690"/>
      <c r="L46" s="692"/>
      <c r="M46" s="693">
        <v>3</v>
      </c>
      <c r="N46" s="694"/>
      <c r="O46" s="722"/>
      <c r="P46" s="719"/>
      <c r="Q46" s="720"/>
      <c r="R46" s="721"/>
      <c r="S46" s="907"/>
      <c r="T46" s="719"/>
      <c r="U46" s="720"/>
      <c r="V46" s="723"/>
      <c r="W46" s="835">
        <f t="shared" si="6"/>
        <v>3</v>
      </c>
      <c r="X46" s="836"/>
      <c r="Y46" s="749"/>
      <c r="AC46" s="157"/>
    </row>
    <row r="47" spans="2:29">
      <c r="B47" s="800"/>
      <c r="C47" s="802"/>
      <c r="D47" s="61" t="s">
        <v>355</v>
      </c>
      <c r="E47" s="190" t="s">
        <v>353</v>
      </c>
      <c r="F47" s="776" t="s">
        <v>577</v>
      </c>
      <c r="G47" s="777"/>
      <c r="H47" s="45" t="s">
        <v>522</v>
      </c>
      <c r="I47" s="181" t="s">
        <v>524</v>
      </c>
      <c r="J47" s="150">
        <v>4</v>
      </c>
      <c r="K47" s="908"/>
      <c r="L47" s="857"/>
      <c r="M47" s="856">
        <v>4</v>
      </c>
      <c r="N47" s="909"/>
      <c r="O47" s="715"/>
      <c r="P47" s="712"/>
      <c r="Q47" s="713"/>
      <c r="R47" s="714"/>
      <c r="S47" s="715"/>
      <c r="T47" s="712"/>
      <c r="U47" s="713"/>
      <c r="V47" s="711"/>
      <c r="W47" s="761">
        <f t="shared" si="6"/>
        <v>4</v>
      </c>
      <c r="X47" s="762"/>
      <c r="Y47" s="749"/>
      <c r="AC47" s="157"/>
    </row>
    <row r="48" spans="2:29">
      <c r="B48" s="800"/>
      <c r="C48" s="802"/>
      <c r="D48" s="61" t="s">
        <v>355</v>
      </c>
      <c r="E48" s="190" t="s">
        <v>353</v>
      </c>
      <c r="F48" s="776" t="s">
        <v>578</v>
      </c>
      <c r="G48" s="777"/>
      <c r="H48" s="45" t="s">
        <v>522</v>
      </c>
      <c r="I48" s="181" t="s">
        <v>524</v>
      </c>
      <c r="J48" s="47">
        <v>5</v>
      </c>
      <c r="K48" s="710"/>
      <c r="L48" s="712"/>
      <c r="M48" s="713">
        <v>5</v>
      </c>
      <c r="N48" s="714"/>
      <c r="O48" s="715"/>
      <c r="P48" s="712"/>
      <c r="Q48" s="713"/>
      <c r="R48" s="714"/>
      <c r="S48" s="715"/>
      <c r="T48" s="712"/>
      <c r="U48" s="713"/>
      <c r="V48" s="711"/>
      <c r="W48" s="761">
        <f t="shared" si="6"/>
        <v>5</v>
      </c>
      <c r="X48" s="762"/>
      <c r="Y48" s="749"/>
      <c r="AC48" s="157"/>
    </row>
    <row r="49" spans="2:29">
      <c r="B49" s="800"/>
      <c r="C49" s="802"/>
      <c r="D49" s="61" t="s">
        <v>355</v>
      </c>
      <c r="E49" s="190" t="s">
        <v>354</v>
      </c>
      <c r="F49" s="776" t="s">
        <v>579</v>
      </c>
      <c r="G49" s="777"/>
      <c r="H49" s="45" t="s">
        <v>522</v>
      </c>
      <c r="I49" s="181" t="s">
        <v>522</v>
      </c>
      <c r="J49" s="47">
        <v>6</v>
      </c>
      <c r="K49" s="710"/>
      <c r="L49" s="712"/>
      <c r="M49" s="713"/>
      <c r="N49" s="714"/>
      <c r="O49" s="715">
        <v>3</v>
      </c>
      <c r="P49" s="712"/>
      <c r="Q49" s="713">
        <v>3</v>
      </c>
      <c r="R49" s="714"/>
      <c r="S49" s="715"/>
      <c r="T49" s="712"/>
      <c r="U49" s="713"/>
      <c r="V49" s="711"/>
      <c r="W49" s="761">
        <f t="shared" si="6"/>
        <v>6</v>
      </c>
      <c r="X49" s="762"/>
      <c r="Y49" s="749"/>
      <c r="AC49" s="157"/>
    </row>
    <row r="50" spans="2:29">
      <c r="B50" s="800"/>
      <c r="C50" s="802"/>
      <c r="D50" s="61" t="s">
        <v>355</v>
      </c>
      <c r="E50" s="190" t="s">
        <v>354</v>
      </c>
      <c r="F50" s="776" t="s">
        <v>580</v>
      </c>
      <c r="G50" s="777"/>
      <c r="H50" s="45" t="s">
        <v>522</v>
      </c>
      <c r="I50" s="181" t="s">
        <v>524</v>
      </c>
      <c r="J50" s="47">
        <v>16</v>
      </c>
      <c r="K50" s="710"/>
      <c r="L50" s="712"/>
      <c r="M50" s="713"/>
      <c r="N50" s="841"/>
      <c r="O50" s="715">
        <v>8</v>
      </c>
      <c r="P50" s="712"/>
      <c r="Q50" s="713">
        <v>8</v>
      </c>
      <c r="R50" s="714"/>
      <c r="S50" s="841"/>
      <c r="T50" s="712"/>
      <c r="U50" s="713"/>
      <c r="V50" s="711"/>
      <c r="W50" s="761">
        <f t="shared" si="6"/>
        <v>16</v>
      </c>
      <c r="X50" s="762"/>
      <c r="Y50" s="749"/>
      <c r="AC50" s="157"/>
    </row>
    <row r="51" spans="2:29">
      <c r="B51" s="800"/>
      <c r="C51" s="802"/>
      <c r="D51" s="193" t="s">
        <v>355</v>
      </c>
      <c r="E51" s="194" t="s">
        <v>354</v>
      </c>
      <c r="F51" s="765" t="s">
        <v>581</v>
      </c>
      <c r="G51" s="766"/>
      <c r="H51" s="45" t="s">
        <v>522</v>
      </c>
      <c r="I51" s="181" t="s">
        <v>524</v>
      </c>
      <c r="J51" s="47">
        <v>10</v>
      </c>
      <c r="K51" s="710"/>
      <c r="L51" s="712"/>
      <c r="M51" s="713"/>
      <c r="N51" s="714"/>
      <c r="O51" s="715"/>
      <c r="P51" s="712"/>
      <c r="Q51" s="713"/>
      <c r="R51" s="714"/>
      <c r="S51" s="715">
        <v>10</v>
      </c>
      <c r="T51" s="712"/>
      <c r="U51" s="713"/>
      <c r="V51" s="711"/>
      <c r="W51" s="761">
        <f t="shared" si="6"/>
        <v>10</v>
      </c>
      <c r="X51" s="762"/>
      <c r="Y51" s="749"/>
      <c r="AC51" s="157"/>
    </row>
    <row r="52" spans="2:29">
      <c r="B52" s="800"/>
      <c r="C52" s="802"/>
      <c r="D52" s="61" t="s">
        <v>355</v>
      </c>
      <c r="E52" s="190" t="s">
        <v>354</v>
      </c>
      <c r="F52" s="797" t="s">
        <v>582</v>
      </c>
      <c r="G52" s="798"/>
      <c r="H52" s="45" t="s">
        <v>522</v>
      </c>
      <c r="I52" s="181" t="s">
        <v>524</v>
      </c>
      <c r="J52" s="150">
        <v>18</v>
      </c>
      <c r="K52" s="710"/>
      <c r="L52" s="712"/>
      <c r="M52" s="713"/>
      <c r="N52" s="714"/>
      <c r="O52" s="715"/>
      <c r="P52" s="712"/>
      <c r="Q52" s="713"/>
      <c r="R52" s="714"/>
      <c r="S52" s="715">
        <v>7</v>
      </c>
      <c r="T52" s="712"/>
      <c r="U52" s="713">
        <v>11</v>
      </c>
      <c r="V52" s="711"/>
      <c r="W52" s="761">
        <f t="shared" si="6"/>
        <v>18</v>
      </c>
      <c r="X52" s="762"/>
      <c r="Y52" s="749"/>
      <c r="AC52" s="157"/>
    </row>
    <row r="53" spans="2:29" ht="18" thickBot="1">
      <c r="B53" s="800"/>
      <c r="C53" s="802"/>
      <c r="D53" s="66" t="s">
        <v>355</v>
      </c>
      <c r="E53" s="201" t="s">
        <v>354</v>
      </c>
      <c r="F53" s="765" t="s">
        <v>583</v>
      </c>
      <c r="G53" s="766"/>
      <c r="H53" s="187" t="s">
        <v>522</v>
      </c>
      <c r="I53" s="183" t="s">
        <v>524</v>
      </c>
      <c r="J53" s="171">
        <v>15</v>
      </c>
      <c r="K53" s="780"/>
      <c r="L53" s="781"/>
      <c r="M53" s="782"/>
      <c r="N53" s="783"/>
      <c r="O53" s="784"/>
      <c r="P53" s="781"/>
      <c r="Q53" s="782"/>
      <c r="R53" s="783"/>
      <c r="S53" s="784">
        <v>8</v>
      </c>
      <c r="T53" s="781"/>
      <c r="U53" s="782">
        <v>7</v>
      </c>
      <c r="V53" s="787"/>
      <c r="W53" s="842">
        <f t="shared" si="6"/>
        <v>15</v>
      </c>
      <c r="X53" s="843"/>
      <c r="Y53" s="749"/>
      <c r="AC53" s="157"/>
    </row>
    <row r="54" spans="2:29">
      <c r="B54" s="800"/>
      <c r="C54" s="801" t="s">
        <v>575</v>
      </c>
      <c r="D54" s="65" t="s">
        <v>355</v>
      </c>
      <c r="E54" s="65" t="s">
        <v>353</v>
      </c>
      <c r="F54" s="795" t="s">
        <v>584</v>
      </c>
      <c r="G54" s="796"/>
      <c r="H54" s="40" t="s">
        <v>522</v>
      </c>
      <c r="I54" s="179" t="s">
        <v>522</v>
      </c>
      <c r="J54" s="42">
        <v>3</v>
      </c>
      <c r="K54" s="849"/>
      <c r="L54" s="850"/>
      <c r="M54" s="850">
        <v>3</v>
      </c>
      <c r="N54" s="913"/>
      <c r="O54" s="692"/>
      <c r="P54" s="850"/>
      <c r="Q54" s="850"/>
      <c r="R54" s="913"/>
      <c r="S54" s="692"/>
      <c r="T54" s="850"/>
      <c r="U54" s="850"/>
      <c r="V54" s="851"/>
      <c r="W54" s="837">
        <f t="shared" si="6"/>
        <v>3</v>
      </c>
      <c r="X54" s="838"/>
      <c r="Y54" s="749"/>
      <c r="AC54" s="157"/>
    </row>
    <row r="55" spans="2:29">
      <c r="B55" s="800"/>
      <c r="C55" s="802"/>
      <c r="D55" s="61" t="s">
        <v>355</v>
      </c>
      <c r="E55" s="61" t="s">
        <v>353</v>
      </c>
      <c r="F55" s="776" t="s">
        <v>585</v>
      </c>
      <c r="G55" s="777"/>
      <c r="H55" s="45" t="s">
        <v>522</v>
      </c>
      <c r="I55" s="181" t="s">
        <v>522</v>
      </c>
      <c r="J55" s="47">
        <v>4</v>
      </c>
      <c r="K55" s="872"/>
      <c r="L55" s="873"/>
      <c r="M55" s="873">
        <v>4</v>
      </c>
      <c r="N55" s="912"/>
      <c r="O55" s="712"/>
      <c r="P55" s="873"/>
      <c r="Q55" s="873"/>
      <c r="R55" s="912"/>
      <c r="S55" s="712"/>
      <c r="T55" s="873"/>
      <c r="U55" s="873"/>
      <c r="V55" s="875"/>
      <c r="W55" s="761">
        <f t="shared" si="6"/>
        <v>4</v>
      </c>
      <c r="X55" s="762"/>
      <c r="Y55" s="749"/>
      <c r="AC55" s="157"/>
    </row>
    <row r="56" spans="2:29">
      <c r="B56" s="800"/>
      <c r="C56" s="802"/>
      <c r="D56" s="61" t="s">
        <v>355</v>
      </c>
      <c r="E56" s="61" t="s">
        <v>353</v>
      </c>
      <c r="F56" s="776" t="s">
        <v>577</v>
      </c>
      <c r="G56" s="777"/>
      <c r="H56" s="45" t="s">
        <v>522</v>
      </c>
      <c r="I56" s="181" t="s">
        <v>522</v>
      </c>
      <c r="J56" s="47">
        <v>5</v>
      </c>
      <c r="K56" s="872"/>
      <c r="L56" s="873"/>
      <c r="M56" s="873">
        <v>5</v>
      </c>
      <c r="N56" s="912"/>
      <c r="O56" s="712"/>
      <c r="P56" s="873"/>
      <c r="Q56" s="873"/>
      <c r="R56" s="912"/>
      <c r="S56" s="712"/>
      <c r="T56" s="873"/>
      <c r="U56" s="873"/>
      <c r="V56" s="875"/>
      <c r="W56" s="761">
        <f t="shared" si="6"/>
        <v>5</v>
      </c>
      <c r="X56" s="762"/>
      <c r="Y56" s="749"/>
      <c r="AC56" s="157"/>
    </row>
    <row r="57" spans="2:29">
      <c r="B57" s="800"/>
      <c r="C57" s="802"/>
      <c r="D57" s="61" t="s">
        <v>355</v>
      </c>
      <c r="E57" s="61" t="s">
        <v>354</v>
      </c>
      <c r="F57" s="776" t="s">
        <v>579</v>
      </c>
      <c r="G57" s="777"/>
      <c r="H57" s="45" t="s">
        <v>522</v>
      </c>
      <c r="I57" s="181" t="s">
        <v>522</v>
      </c>
      <c r="J57" s="47">
        <v>6</v>
      </c>
      <c r="K57" s="872"/>
      <c r="L57" s="873"/>
      <c r="M57" s="873"/>
      <c r="N57" s="912"/>
      <c r="O57" s="712">
        <v>3</v>
      </c>
      <c r="P57" s="873"/>
      <c r="Q57" s="873">
        <v>3</v>
      </c>
      <c r="R57" s="912"/>
      <c r="S57" s="712"/>
      <c r="T57" s="873"/>
      <c r="U57" s="873"/>
      <c r="V57" s="875"/>
      <c r="W57" s="761">
        <f t="shared" si="6"/>
        <v>6</v>
      </c>
      <c r="X57" s="762"/>
      <c r="Y57" s="749"/>
      <c r="AC57" s="157"/>
    </row>
    <row r="58" spans="2:29">
      <c r="B58" s="800"/>
      <c r="C58" s="802"/>
      <c r="D58" s="61" t="s">
        <v>355</v>
      </c>
      <c r="E58" s="61" t="s">
        <v>354</v>
      </c>
      <c r="F58" s="776" t="s">
        <v>586</v>
      </c>
      <c r="G58" s="777"/>
      <c r="H58" s="45" t="s">
        <v>522</v>
      </c>
      <c r="I58" s="181" t="s">
        <v>522</v>
      </c>
      <c r="J58" s="47">
        <v>16</v>
      </c>
      <c r="K58" s="872"/>
      <c r="L58" s="873"/>
      <c r="M58" s="873"/>
      <c r="N58" s="912"/>
      <c r="O58" s="712">
        <v>8</v>
      </c>
      <c r="P58" s="873"/>
      <c r="Q58" s="873">
        <v>8</v>
      </c>
      <c r="R58" s="912"/>
      <c r="S58" s="712"/>
      <c r="T58" s="873"/>
      <c r="U58" s="873"/>
      <c r="V58" s="875"/>
      <c r="W58" s="761">
        <f t="shared" si="6"/>
        <v>16</v>
      </c>
      <c r="X58" s="762"/>
      <c r="Y58" s="749"/>
      <c r="AC58" s="157"/>
    </row>
    <row r="59" spans="2:29">
      <c r="B59" s="800"/>
      <c r="C59" s="802"/>
      <c r="D59" s="61" t="s">
        <v>355</v>
      </c>
      <c r="E59" s="61" t="s">
        <v>354</v>
      </c>
      <c r="F59" s="776" t="s">
        <v>587</v>
      </c>
      <c r="G59" s="777"/>
      <c r="H59" s="45" t="s">
        <v>522</v>
      </c>
      <c r="I59" s="181" t="s">
        <v>522</v>
      </c>
      <c r="J59" s="47">
        <v>10</v>
      </c>
      <c r="K59" s="872"/>
      <c r="L59" s="873"/>
      <c r="M59" s="873"/>
      <c r="N59" s="912"/>
      <c r="O59" s="712"/>
      <c r="P59" s="873"/>
      <c r="Q59" s="873"/>
      <c r="R59" s="912"/>
      <c r="S59" s="712">
        <v>10</v>
      </c>
      <c r="T59" s="873"/>
      <c r="U59" s="873"/>
      <c r="V59" s="875"/>
      <c r="W59" s="761">
        <f t="shared" si="6"/>
        <v>10</v>
      </c>
      <c r="X59" s="762"/>
      <c r="Y59" s="749"/>
      <c r="AC59" s="157"/>
    </row>
    <row r="60" spans="2:29">
      <c r="B60" s="800"/>
      <c r="C60" s="802"/>
      <c r="D60" s="61" t="s">
        <v>355</v>
      </c>
      <c r="E60" s="61" t="s">
        <v>354</v>
      </c>
      <c r="F60" s="776" t="s">
        <v>588</v>
      </c>
      <c r="G60" s="777"/>
      <c r="H60" s="45" t="s">
        <v>522</v>
      </c>
      <c r="I60" s="181" t="s">
        <v>522</v>
      </c>
      <c r="J60" s="47">
        <v>18</v>
      </c>
      <c r="K60" s="872"/>
      <c r="L60" s="873"/>
      <c r="M60" s="873"/>
      <c r="N60" s="912"/>
      <c r="O60" s="712"/>
      <c r="P60" s="873"/>
      <c r="Q60" s="873"/>
      <c r="R60" s="912"/>
      <c r="S60" s="712">
        <v>7</v>
      </c>
      <c r="T60" s="873"/>
      <c r="U60" s="873">
        <v>11</v>
      </c>
      <c r="V60" s="875"/>
      <c r="W60" s="761">
        <f t="shared" si="6"/>
        <v>18</v>
      </c>
      <c r="X60" s="762"/>
      <c r="Y60" s="749"/>
      <c r="AC60" s="157"/>
    </row>
    <row r="61" spans="2:29" ht="18" thickBot="1">
      <c r="B61" s="800"/>
      <c r="C61" s="803"/>
      <c r="D61" s="66" t="s">
        <v>355</v>
      </c>
      <c r="E61" s="66" t="s">
        <v>354</v>
      </c>
      <c r="F61" s="785" t="s">
        <v>589</v>
      </c>
      <c r="G61" s="786"/>
      <c r="H61" s="50" t="s">
        <v>522</v>
      </c>
      <c r="I61" s="188" t="s">
        <v>522</v>
      </c>
      <c r="J61" s="52">
        <v>15</v>
      </c>
      <c r="K61" s="886"/>
      <c r="L61" s="887"/>
      <c r="M61" s="887"/>
      <c r="N61" s="914"/>
      <c r="O61" s="704"/>
      <c r="P61" s="887"/>
      <c r="Q61" s="887"/>
      <c r="R61" s="914"/>
      <c r="S61" s="704">
        <v>8</v>
      </c>
      <c r="T61" s="887"/>
      <c r="U61" s="887">
        <v>7</v>
      </c>
      <c r="V61" s="888"/>
      <c r="W61" s="761">
        <f t="shared" si="6"/>
        <v>15</v>
      </c>
      <c r="X61" s="762"/>
      <c r="Y61" s="749"/>
      <c r="AC61" s="157"/>
    </row>
    <row r="62" spans="2:29" ht="24.75" customHeight="1" thickBot="1">
      <c r="B62" s="794" t="s">
        <v>358</v>
      </c>
      <c r="C62" s="792"/>
      <c r="D62" s="792"/>
      <c r="E62" s="792"/>
      <c r="F62" s="792"/>
      <c r="G62" s="793"/>
      <c r="H62" s="161">
        <f>SUM(H35:H38)</f>
        <v>0</v>
      </c>
      <c r="I62" s="162">
        <f>SUM(I35:I38)</f>
        <v>0</v>
      </c>
      <c r="J62" s="163">
        <v>106</v>
      </c>
      <c r="K62" s="794">
        <f>SUM(K35:L45)</f>
        <v>3</v>
      </c>
      <c r="L62" s="789"/>
      <c r="M62" s="790">
        <f>SUM(M35:N45)</f>
        <v>12</v>
      </c>
      <c r="N62" s="791"/>
      <c r="O62" s="788">
        <f>SUM(O35:P45)</f>
        <v>19</v>
      </c>
      <c r="P62" s="789"/>
      <c r="Q62" s="790">
        <f>SUM(Q35:R45)</f>
        <v>18</v>
      </c>
      <c r="R62" s="791"/>
      <c r="S62" s="792">
        <f>SUM(S35:T45)</f>
        <v>25</v>
      </c>
      <c r="T62" s="789"/>
      <c r="U62" s="790">
        <f>SUM(U35:V45)</f>
        <v>29</v>
      </c>
      <c r="V62" s="793"/>
      <c r="W62" s="794">
        <f>SUM(K62:V62)</f>
        <v>106</v>
      </c>
      <c r="X62" s="793"/>
      <c r="Y62" s="160">
        <f>SUM(Y35:Y44)</f>
        <v>80</v>
      </c>
      <c r="AC62" s="157"/>
    </row>
    <row r="63" spans="2:29" ht="17.25" customHeight="1" thickBot="1">
      <c r="B63" s="739" t="s">
        <v>541</v>
      </c>
      <c r="C63" s="740"/>
      <c r="D63" s="740"/>
      <c r="E63" s="740"/>
      <c r="F63" s="740"/>
      <c r="G63" s="741"/>
      <c r="H63" s="169">
        <f>SUM(H34,H62)</f>
        <v>89</v>
      </c>
      <c r="I63" s="167">
        <f>SUM(I34,I62)</f>
        <v>0</v>
      </c>
      <c r="J63" s="168">
        <f>SUM(J34,J62)</f>
        <v>174</v>
      </c>
      <c r="K63" s="739">
        <f>SUM(K34,K62)</f>
        <v>29</v>
      </c>
      <c r="L63" s="758"/>
      <c r="M63" s="744">
        <f>SUM(M34,M62)</f>
        <v>29</v>
      </c>
      <c r="N63" s="817"/>
      <c r="O63" s="818">
        <f>SUM(O34,O62)</f>
        <v>29</v>
      </c>
      <c r="P63" s="758"/>
      <c r="Q63" s="744">
        <f>SUM(Q34,Q62)</f>
        <v>29</v>
      </c>
      <c r="R63" s="817"/>
      <c r="S63" s="818">
        <f>SUM(S34,S62)</f>
        <v>29</v>
      </c>
      <c r="T63" s="758"/>
      <c r="U63" s="744">
        <f>SUM(U34,U62)</f>
        <v>29</v>
      </c>
      <c r="V63" s="741"/>
      <c r="W63" s="739">
        <f>SUM(K63:V63)</f>
        <v>174</v>
      </c>
      <c r="X63" s="741"/>
      <c r="Y63" s="11">
        <f>Y62+Y34</f>
        <v>144</v>
      </c>
      <c r="AA63" s="724" t="s">
        <v>156</v>
      </c>
      <c r="AB63" s="724"/>
    </row>
    <row r="64" spans="2:29" ht="18.75" customHeight="1" thickBot="1">
      <c r="B64" s="805" t="s">
        <v>359</v>
      </c>
      <c r="C64" s="806"/>
      <c r="D64" s="806"/>
      <c r="E64" s="807"/>
      <c r="F64" s="814" t="s">
        <v>356</v>
      </c>
      <c r="G64" s="815"/>
      <c r="H64" s="815"/>
      <c r="I64" s="815"/>
      <c r="J64" s="816"/>
      <c r="K64" s="690">
        <v>16</v>
      </c>
      <c r="L64" s="692"/>
      <c r="M64" s="693">
        <v>16</v>
      </c>
      <c r="N64" s="694"/>
      <c r="O64" s="695">
        <v>16</v>
      </c>
      <c r="P64" s="692"/>
      <c r="Q64" s="693">
        <v>16</v>
      </c>
      <c r="R64" s="694"/>
      <c r="S64" s="695">
        <v>16</v>
      </c>
      <c r="T64" s="692"/>
      <c r="U64" s="693">
        <v>16</v>
      </c>
      <c r="V64" s="691"/>
      <c r="W64" s="805">
        <f>SUM(K64:V66)</f>
        <v>288</v>
      </c>
      <c r="X64" s="807"/>
      <c r="Y64" s="821">
        <f>Y67*16</f>
        <v>288</v>
      </c>
      <c r="AA64" s="804"/>
      <c r="AB64" s="804"/>
    </row>
    <row r="65" spans="2:28" ht="17.25" customHeight="1" thickBot="1">
      <c r="B65" s="808"/>
      <c r="C65" s="809"/>
      <c r="D65" s="809"/>
      <c r="E65" s="810"/>
      <c r="F65" s="823" t="s">
        <v>63</v>
      </c>
      <c r="G65" s="824"/>
      <c r="H65" s="824"/>
      <c r="I65" s="824"/>
      <c r="J65" s="825"/>
      <c r="K65" s="710">
        <v>16</v>
      </c>
      <c r="L65" s="712"/>
      <c r="M65" s="713">
        <v>16</v>
      </c>
      <c r="N65" s="714"/>
      <c r="O65" s="715">
        <v>16</v>
      </c>
      <c r="P65" s="712"/>
      <c r="Q65" s="713">
        <v>16</v>
      </c>
      <c r="R65" s="714"/>
      <c r="S65" s="715">
        <v>16</v>
      </c>
      <c r="T65" s="712"/>
      <c r="U65" s="713">
        <v>16</v>
      </c>
      <c r="V65" s="711"/>
      <c r="W65" s="808"/>
      <c r="X65" s="810"/>
      <c r="Y65" s="749"/>
      <c r="AA65" s="735" t="b">
        <f>W63&gt;=Y63</f>
        <v>1</v>
      </c>
      <c r="AB65" s="736"/>
    </row>
    <row r="66" spans="2:28" ht="17.25" customHeight="1">
      <c r="B66" s="808"/>
      <c r="C66" s="809"/>
      <c r="D66" s="809"/>
      <c r="E66" s="810"/>
      <c r="F66" s="823" t="s">
        <v>11</v>
      </c>
      <c r="G66" s="824"/>
      <c r="H66" s="824"/>
      <c r="I66" s="824"/>
      <c r="J66" s="825"/>
      <c r="K66" s="710">
        <v>16</v>
      </c>
      <c r="L66" s="712"/>
      <c r="M66" s="713">
        <v>16</v>
      </c>
      <c r="N66" s="714"/>
      <c r="O66" s="715">
        <v>16</v>
      </c>
      <c r="P66" s="712"/>
      <c r="Q66" s="713">
        <v>16</v>
      </c>
      <c r="R66" s="714"/>
      <c r="S66" s="715">
        <v>16</v>
      </c>
      <c r="T66" s="712"/>
      <c r="U66" s="713">
        <v>16</v>
      </c>
      <c r="V66" s="711"/>
      <c r="W66" s="819"/>
      <c r="X66" s="820"/>
      <c r="Y66" s="822"/>
    </row>
    <row r="67" spans="2:28" ht="17.25" customHeight="1" thickBot="1">
      <c r="B67" s="811"/>
      <c r="C67" s="812"/>
      <c r="D67" s="812"/>
      <c r="E67" s="813"/>
      <c r="F67" s="831" t="s">
        <v>149</v>
      </c>
      <c r="G67" s="833"/>
      <c r="H67" s="833"/>
      <c r="I67" s="833"/>
      <c r="J67" s="832"/>
      <c r="K67" s="834">
        <v>3</v>
      </c>
      <c r="L67" s="827"/>
      <c r="M67" s="828">
        <v>3</v>
      </c>
      <c r="N67" s="829"/>
      <c r="O67" s="826">
        <v>3</v>
      </c>
      <c r="P67" s="827"/>
      <c r="Q67" s="828">
        <v>3</v>
      </c>
      <c r="R67" s="829"/>
      <c r="S67" s="826">
        <v>3</v>
      </c>
      <c r="T67" s="827"/>
      <c r="U67" s="828">
        <v>3</v>
      </c>
      <c r="V67" s="830"/>
      <c r="W67" s="831">
        <f>SUM(K67:V67)</f>
        <v>18</v>
      </c>
      <c r="X67" s="832"/>
      <c r="Y67" s="74">
        <v>18</v>
      </c>
      <c r="AA67" s="724" t="s">
        <v>157</v>
      </c>
      <c r="AB67" s="724"/>
    </row>
    <row r="68" spans="2:28" ht="17.25" customHeight="1" thickBot="1">
      <c r="B68" s="739"/>
      <c r="C68" s="740"/>
      <c r="D68" s="740"/>
      <c r="E68" s="740"/>
      <c r="F68" s="740"/>
      <c r="G68" s="740"/>
      <c r="H68" s="740"/>
      <c r="I68" s="740"/>
      <c r="J68" s="741"/>
      <c r="K68" s="739">
        <v>32</v>
      </c>
      <c r="L68" s="758"/>
      <c r="M68" s="744">
        <v>32</v>
      </c>
      <c r="N68" s="817"/>
      <c r="O68" s="818">
        <v>32</v>
      </c>
      <c r="P68" s="758"/>
      <c r="Q68" s="744">
        <v>32</v>
      </c>
      <c r="R68" s="817"/>
      <c r="S68" s="818">
        <v>32</v>
      </c>
      <c r="T68" s="758"/>
      <c r="U68" s="744">
        <v>32</v>
      </c>
      <c r="V68" s="741"/>
      <c r="W68" s="739">
        <f>SUM(K68:V68)</f>
        <v>192</v>
      </c>
      <c r="X68" s="741"/>
      <c r="Y68" s="35">
        <f>W68</f>
        <v>192</v>
      </c>
      <c r="AA68" s="735" t="b">
        <f>W67&gt;=Y67</f>
        <v>1</v>
      </c>
      <c r="AB68" s="736"/>
    </row>
    <row r="69" spans="2:28" ht="17.25" customHeight="1" thickBot="1">
      <c r="B69" s="739"/>
      <c r="C69" s="740"/>
      <c r="D69" s="740"/>
      <c r="E69" s="740"/>
      <c r="F69" s="740"/>
      <c r="G69" s="740"/>
      <c r="H69" s="740"/>
      <c r="I69" s="740"/>
      <c r="J69" s="741"/>
      <c r="K69" s="739">
        <f>SUM(K68:N68)</f>
        <v>64</v>
      </c>
      <c r="L69" s="740"/>
      <c r="M69" s="740"/>
      <c r="N69" s="817"/>
      <c r="O69" s="818">
        <f>SUM(O68:R68)</f>
        <v>64</v>
      </c>
      <c r="P69" s="740"/>
      <c r="Q69" s="740"/>
      <c r="R69" s="817"/>
      <c r="S69" s="818">
        <f>SUM(S68:V68)</f>
        <v>64</v>
      </c>
      <c r="T69" s="740"/>
      <c r="U69" s="740"/>
      <c r="V69" s="741"/>
      <c r="W69" s="739">
        <f>SUM(K69:V69)</f>
        <v>192</v>
      </c>
      <c r="X69" s="741"/>
      <c r="Y69" s="11"/>
      <c r="AA69" s="724" t="s">
        <v>153</v>
      </c>
      <c r="AB69" s="724"/>
    </row>
    <row r="70" spans="2:28" ht="17.25" customHeight="1" thickBot="1">
      <c r="AA70" s="735" t="b">
        <f>W68&gt;=Y68</f>
        <v>1</v>
      </c>
      <c r="AB70" s="736"/>
    </row>
    <row r="71" spans="2:28" ht="17.25" customHeight="1"/>
    <row r="72" spans="2:28" ht="17.25" customHeight="1"/>
    <row r="73" spans="2:28" ht="17.25" customHeight="1"/>
    <row r="75" spans="2:28" ht="24.9" customHeight="1"/>
    <row r="76" spans="2:28" ht="24.9" customHeight="1"/>
    <row r="77" spans="2:28" ht="32.25" customHeight="1"/>
    <row r="78" spans="2:28" ht="24.9" customHeight="1"/>
    <row r="80" spans="2:28" ht="16.5" customHeight="1"/>
    <row r="81" ht="17.2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538">
    <mergeCell ref="AA70:AB70"/>
    <mergeCell ref="F36:G36"/>
    <mergeCell ref="F37:G37"/>
    <mergeCell ref="O36:P36"/>
    <mergeCell ref="O37:P37"/>
    <mergeCell ref="C46:C53"/>
    <mergeCell ref="C54:C61"/>
    <mergeCell ref="W68:X68"/>
    <mergeCell ref="AA68:AB68"/>
    <mergeCell ref="B69:J69"/>
    <mergeCell ref="K69:N69"/>
    <mergeCell ref="O69:R69"/>
    <mergeCell ref="S69:V69"/>
    <mergeCell ref="W69:X69"/>
    <mergeCell ref="AA69:AB69"/>
    <mergeCell ref="U67:V67"/>
    <mergeCell ref="W67:X67"/>
    <mergeCell ref="AA67:AB67"/>
    <mergeCell ref="B68:J68"/>
    <mergeCell ref="K68:L68"/>
    <mergeCell ref="M68:N68"/>
    <mergeCell ref="O68:P68"/>
    <mergeCell ref="Q68:R68"/>
    <mergeCell ref="S68:T68"/>
    <mergeCell ref="U68:V68"/>
    <mergeCell ref="F67:J67"/>
    <mergeCell ref="K67:L67"/>
    <mergeCell ref="M67:N67"/>
    <mergeCell ref="O67:P67"/>
    <mergeCell ref="Q67:R67"/>
    <mergeCell ref="S67:T67"/>
    <mergeCell ref="AA65:AB65"/>
    <mergeCell ref="F66:J66"/>
    <mergeCell ref="K66:L66"/>
    <mergeCell ref="M66:N66"/>
    <mergeCell ref="O66:P66"/>
    <mergeCell ref="Q66:R66"/>
    <mergeCell ref="S66:T66"/>
    <mergeCell ref="U66:V66"/>
    <mergeCell ref="Y64:Y66"/>
    <mergeCell ref="F65:J65"/>
    <mergeCell ref="K65:L65"/>
    <mergeCell ref="M65:N65"/>
    <mergeCell ref="O65:P65"/>
    <mergeCell ref="Q65:R65"/>
    <mergeCell ref="S65:T65"/>
    <mergeCell ref="U65:V65"/>
    <mergeCell ref="AA63:AB64"/>
    <mergeCell ref="B64:E67"/>
    <mergeCell ref="F64:J64"/>
    <mergeCell ref="K64:L64"/>
    <mergeCell ref="M64:N64"/>
    <mergeCell ref="O64:P64"/>
    <mergeCell ref="Q64:R64"/>
    <mergeCell ref="S64:T64"/>
    <mergeCell ref="U64:V64"/>
    <mergeCell ref="W64:X66"/>
    <mergeCell ref="U62:V62"/>
    <mergeCell ref="W62:X62"/>
    <mergeCell ref="B63:G63"/>
    <mergeCell ref="K63:L63"/>
    <mergeCell ref="M63:N63"/>
    <mergeCell ref="O63:P63"/>
    <mergeCell ref="Q63:R63"/>
    <mergeCell ref="S63:T63"/>
    <mergeCell ref="U63:V63"/>
    <mergeCell ref="W63:X63"/>
    <mergeCell ref="B62:G62"/>
    <mergeCell ref="K62:L62"/>
    <mergeCell ref="M62:N62"/>
    <mergeCell ref="O62:P62"/>
    <mergeCell ref="Q62:R62"/>
    <mergeCell ref="S62:T62"/>
    <mergeCell ref="U60:V60"/>
    <mergeCell ref="W60:X60"/>
    <mergeCell ref="F61:G61"/>
    <mergeCell ref="K61:L61"/>
    <mergeCell ref="M61:N61"/>
    <mergeCell ref="O61:P61"/>
    <mergeCell ref="Q61:R61"/>
    <mergeCell ref="S61:T61"/>
    <mergeCell ref="U61:V61"/>
    <mergeCell ref="W61:X61"/>
    <mergeCell ref="F60:G60"/>
    <mergeCell ref="K60:L60"/>
    <mergeCell ref="M60:N60"/>
    <mergeCell ref="O60:P60"/>
    <mergeCell ref="Q60:R60"/>
    <mergeCell ref="S60:T60"/>
    <mergeCell ref="U58:V58"/>
    <mergeCell ref="W58:X58"/>
    <mergeCell ref="F59:G59"/>
    <mergeCell ref="K59:L59"/>
    <mergeCell ref="M59:N59"/>
    <mergeCell ref="O59:P59"/>
    <mergeCell ref="Q59:R59"/>
    <mergeCell ref="S59:T59"/>
    <mergeCell ref="U59:V59"/>
    <mergeCell ref="W59:X59"/>
    <mergeCell ref="F58:G58"/>
    <mergeCell ref="K58:L58"/>
    <mergeCell ref="M58:N58"/>
    <mergeCell ref="O58:P58"/>
    <mergeCell ref="Q58:R58"/>
    <mergeCell ref="S58:T58"/>
    <mergeCell ref="U56:V56"/>
    <mergeCell ref="W56:X56"/>
    <mergeCell ref="F57:G57"/>
    <mergeCell ref="K57:L57"/>
    <mergeCell ref="M57:N57"/>
    <mergeCell ref="O57:P57"/>
    <mergeCell ref="Q57:R57"/>
    <mergeCell ref="S57:T57"/>
    <mergeCell ref="U57:V57"/>
    <mergeCell ref="W57:X57"/>
    <mergeCell ref="F56:G56"/>
    <mergeCell ref="K56:L56"/>
    <mergeCell ref="M56:N56"/>
    <mergeCell ref="O56:P56"/>
    <mergeCell ref="Q56:R56"/>
    <mergeCell ref="S56:T56"/>
    <mergeCell ref="U54:V54"/>
    <mergeCell ref="W54:X54"/>
    <mergeCell ref="F55:G55"/>
    <mergeCell ref="K55:L55"/>
    <mergeCell ref="M55:N55"/>
    <mergeCell ref="O55:P55"/>
    <mergeCell ref="Q55:R55"/>
    <mergeCell ref="S55:T55"/>
    <mergeCell ref="U55:V55"/>
    <mergeCell ref="W55:X55"/>
    <mergeCell ref="F54:G54"/>
    <mergeCell ref="K54:L54"/>
    <mergeCell ref="M54:N54"/>
    <mergeCell ref="O54:P54"/>
    <mergeCell ref="Q54:R54"/>
    <mergeCell ref="S54:T54"/>
    <mergeCell ref="M51:N51"/>
    <mergeCell ref="O51:P51"/>
    <mergeCell ref="Q51:R51"/>
    <mergeCell ref="S51:T51"/>
    <mergeCell ref="U51:V51"/>
    <mergeCell ref="W51:X51"/>
    <mergeCell ref="U52:V52"/>
    <mergeCell ref="W52:X52"/>
    <mergeCell ref="F53:G53"/>
    <mergeCell ref="K53:L53"/>
    <mergeCell ref="M53:N53"/>
    <mergeCell ref="O53:P53"/>
    <mergeCell ref="Q53:R53"/>
    <mergeCell ref="S53:T53"/>
    <mergeCell ref="U53:V53"/>
    <mergeCell ref="W53:X53"/>
    <mergeCell ref="F52:G52"/>
    <mergeCell ref="K52:L52"/>
    <mergeCell ref="M52:N52"/>
    <mergeCell ref="O52:P52"/>
    <mergeCell ref="Q52:R52"/>
    <mergeCell ref="S52:T52"/>
    <mergeCell ref="Q48:R48"/>
    <mergeCell ref="S48:T48"/>
    <mergeCell ref="U48:V48"/>
    <mergeCell ref="W48:X48"/>
    <mergeCell ref="Q49:R49"/>
    <mergeCell ref="S49:T49"/>
    <mergeCell ref="U49:V49"/>
    <mergeCell ref="W49:X49"/>
    <mergeCell ref="F50:G50"/>
    <mergeCell ref="K50:L50"/>
    <mergeCell ref="M50:N50"/>
    <mergeCell ref="O50:P50"/>
    <mergeCell ref="Q50:R50"/>
    <mergeCell ref="S50:T50"/>
    <mergeCell ref="F49:G49"/>
    <mergeCell ref="K49:L49"/>
    <mergeCell ref="M49:N49"/>
    <mergeCell ref="O49:P49"/>
    <mergeCell ref="U50:V50"/>
    <mergeCell ref="W50:X50"/>
    <mergeCell ref="S46:T46"/>
    <mergeCell ref="U46:V46"/>
    <mergeCell ref="W46:X46"/>
    <mergeCell ref="F47:G47"/>
    <mergeCell ref="K47:L47"/>
    <mergeCell ref="M47:N47"/>
    <mergeCell ref="O47:P47"/>
    <mergeCell ref="Q47:R47"/>
    <mergeCell ref="S47:T47"/>
    <mergeCell ref="U47:V47"/>
    <mergeCell ref="F46:G46"/>
    <mergeCell ref="K46:L46"/>
    <mergeCell ref="M46:N46"/>
    <mergeCell ref="O46:P46"/>
    <mergeCell ref="Q46:R46"/>
    <mergeCell ref="W47:X47"/>
    <mergeCell ref="U45:V45"/>
    <mergeCell ref="W45:X45"/>
    <mergeCell ref="F45:G45"/>
    <mergeCell ref="K45:L45"/>
    <mergeCell ref="M45:N45"/>
    <mergeCell ref="O45:P45"/>
    <mergeCell ref="Q45:R45"/>
    <mergeCell ref="S45:T45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Q42:R42"/>
    <mergeCell ref="S42:T42"/>
    <mergeCell ref="U42:V42"/>
    <mergeCell ref="W42:X42"/>
    <mergeCell ref="F43:G43"/>
    <mergeCell ref="K43:L43"/>
    <mergeCell ref="M43:N43"/>
    <mergeCell ref="O43:P43"/>
    <mergeCell ref="Q43:R43"/>
    <mergeCell ref="S43:T43"/>
    <mergeCell ref="B39:B61"/>
    <mergeCell ref="C39:C45"/>
    <mergeCell ref="F39:G39"/>
    <mergeCell ref="K39:L39"/>
    <mergeCell ref="M39:N39"/>
    <mergeCell ref="O39:P39"/>
    <mergeCell ref="F42:G42"/>
    <mergeCell ref="K42:L42"/>
    <mergeCell ref="M42:N42"/>
    <mergeCell ref="O42:P42"/>
    <mergeCell ref="F40:G40"/>
    <mergeCell ref="K40:L40"/>
    <mergeCell ref="M40:N40"/>
    <mergeCell ref="O40:P40"/>
    <mergeCell ref="F41:G41"/>
    <mergeCell ref="K41:L41"/>
    <mergeCell ref="M41:N41"/>
    <mergeCell ref="O41:P41"/>
    <mergeCell ref="F48:G48"/>
    <mergeCell ref="K48:L48"/>
    <mergeCell ref="M48:N48"/>
    <mergeCell ref="O48:P48"/>
    <mergeCell ref="F51:G51"/>
    <mergeCell ref="K51:L51"/>
    <mergeCell ref="F38:G38"/>
    <mergeCell ref="K38:L38"/>
    <mergeCell ref="M38:N38"/>
    <mergeCell ref="O38:P38"/>
    <mergeCell ref="Q38:R38"/>
    <mergeCell ref="S38:T38"/>
    <mergeCell ref="S36:T36"/>
    <mergeCell ref="U36:V36"/>
    <mergeCell ref="W36:X36"/>
    <mergeCell ref="K37:L37"/>
    <mergeCell ref="M37:N37"/>
    <mergeCell ref="Q37:R37"/>
    <mergeCell ref="S37:T37"/>
    <mergeCell ref="U37:V37"/>
    <mergeCell ref="W37:X37"/>
    <mergeCell ref="S35:T35"/>
    <mergeCell ref="U35:V35"/>
    <mergeCell ref="W35:X35"/>
    <mergeCell ref="Y35:Y61"/>
    <mergeCell ref="K36:L36"/>
    <mergeCell ref="M36:N36"/>
    <mergeCell ref="Q36:R36"/>
    <mergeCell ref="S34:T34"/>
    <mergeCell ref="U34:V34"/>
    <mergeCell ref="W34:X34"/>
    <mergeCell ref="U38:V38"/>
    <mergeCell ref="W38:X38"/>
    <mergeCell ref="Q39:R39"/>
    <mergeCell ref="S39:T39"/>
    <mergeCell ref="U39:V39"/>
    <mergeCell ref="W39:X39"/>
    <mergeCell ref="Q40:R40"/>
    <mergeCell ref="S40:T40"/>
    <mergeCell ref="U40:V40"/>
    <mergeCell ref="W40:X40"/>
    <mergeCell ref="Q41:R41"/>
    <mergeCell ref="S41:T41"/>
    <mergeCell ref="U41:V41"/>
    <mergeCell ref="W41:X41"/>
    <mergeCell ref="D29:D30"/>
    <mergeCell ref="AA34:AB34"/>
    <mergeCell ref="B35:C38"/>
    <mergeCell ref="F35:G35"/>
    <mergeCell ref="K35:L35"/>
    <mergeCell ref="M35:N35"/>
    <mergeCell ref="O35:P35"/>
    <mergeCell ref="Q35:R35"/>
    <mergeCell ref="M33:N33"/>
    <mergeCell ref="O33:P33"/>
    <mergeCell ref="Q33:R33"/>
    <mergeCell ref="S33:T33"/>
    <mergeCell ref="U33:V33"/>
    <mergeCell ref="B34:G34"/>
    <mergeCell ref="K34:L34"/>
    <mergeCell ref="M34:N34"/>
    <mergeCell ref="O34:P34"/>
    <mergeCell ref="Q34:R34"/>
    <mergeCell ref="W31:X33"/>
    <mergeCell ref="Y31:Y33"/>
    <mergeCell ref="F32:G32"/>
    <mergeCell ref="K32:L32"/>
    <mergeCell ref="M32:N32"/>
    <mergeCell ref="O32:P32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Q32:R32"/>
    <mergeCell ref="F25:G25"/>
    <mergeCell ref="K25:L25"/>
    <mergeCell ref="M25:N25"/>
    <mergeCell ref="O25:P25"/>
    <mergeCell ref="S32:T32"/>
    <mergeCell ref="U32:V32"/>
    <mergeCell ref="F33:G33"/>
    <mergeCell ref="U30:V30"/>
    <mergeCell ref="W29:X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S26:T26"/>
    <mergeCell ref="U26:V26"/>
    <mergeCell ref="U24:V24"/>
    <mergeCell ref="M27:N27"/>
    <mergeCell ref="O27:P27"/>
    <mergeCell ref="Q27:R27"/>
    <mergeCell ref="S27:T27"/>
    <mergeCell ref="S29:T29"/>
    <mergeCell ref="U29:V29"/>
    <mergeCell ref="U22:V22"/>
    <mergeCell ref="Y24:Y28"/>
    <mergeCell ref="Y29:Y30"/>
    <mergeCell ref="F23:G23"/>
    <mergeCell ref="K23:L23"/>
    <mergeCell ref="U27:V27"/>
    <mergeCell ref="F28:G28"/>
    <mergeCell ref="K28:L28"/>
    <mergeCell ref="D24:D28"/>
    <mergeCell ref="F24:G24"/>
    <mergeCell ref="K24:L24"/>
    <mergeCell ref="M24:N24"/>
    <mergeCell ref="O24:P24"/>
    <mergeCell ref="Q24:R24"/>
    <mergeCell ref="Q25:R25"/>
    <mergeCell ref="S25:T25"/>
    <mergeCell ref="O23:P23"/>
    <mergeCell ref="Q23:R23"/>
    <mergeCell ref="S23:T23"/>
    <mergeCell ref="U23:V23"/>
    <mergeCell ref="U25:V25"/>
    <mergeCell ref="F26:G26"/>
    <mergeCell ref="K26:L26"/>
    <mergeCell ref="M26:N26"/>
    <mergeCell ref="O26:P26"/>
    <mergeCell ref="Q26:R26"/>
    <mergeCell ref="S24:T24"/>
    <mergeCell ref="X24:X28"/>
    <mergeCell ref="M28:N28"/>
    <mergeCell ref="O28:P28"/>
    <mergeCell ref="Q28:R28"/>
    <mergeCell ref="S28:T28"/>
    <mergeCell ref="U28:V28"/>
    <mergeCell ref="F27:G27"/>
    <mergeCell ref="K27:L27"/>
    <mergeCell ref="D21:D23"/>
    <mergeCell ref="F21:G21"/>
    <mergeCell ref="K21:L21"/>
    <mergeCell ref="M21:N21"/>
    <mergeCell ref="O21:P21"/>
    <mergeCell ref="Q21:R21"/>
    <mergeCell ref="S21:T21"/>
    <mergeCell ref="U21:V21"/>
    <mergeCell ref="M23:N23"/>
    <mergeCell ref="X21:X23"/>
    <mergeCell ref="F22:G22"/>
    <mergeCell ref="K22:L22"/>
    <mergeCell ref="M22:N22"/>
    <mergeCell ref="O22:P22"/>
    <mergeCell ref="Q22:R22"/>
    <mergeCell ref="S22:T22"/>
    <mergeCell ref="AA18:AB18"/>
    <mergeCell ref="F19:G19"/>
    <mergeCell ref="K19:L19"/>
    <mergeCell ref="M19:N19"/>
    <mergeCell ref="O19:P19"/>
    <mergeCell ref="Q19:R19"/>
    <mergeCell ref="S19:T19"/>
    <mergeCell ref="U19:V19"/>
    <mergeCell ref="X19:X20"/>
    <mergeCell ref="Y19:Y23"/>
    <mergeCell ref="U20:V20"/>
    <mergeCell ref="F20:G20"/>
    <mergeCell ref="K20:L20"/>
    <mergeCell ref="M20:N20"/>
    <mergeCell ref="O20:P20"/>
    <mergeCell ref="Q20:R20"/>
    <mergeCell ref="S20:T20"/>
    <mergeCell ref="X17:X18"/>
    <mergeCell ref="Y17:Y18"/>
    <mergeCell ref="F18:G18"/>
    <mergeCell ref="K18:L18"/>
    <mergeCell ref="M18:N18"/>
    <mergeCell ref="O18:P18"/>
    <mergeCell ref="Q18:R18"/>
    <mergeCell ref="S18:T18"/>
    <mergeCell ref="U18:V18"/>
    <mergeCell ref="K16:L16"/>
    <mergeCell ref="M16:N16"/>
    <mergeCell ref="O16:P16"/>
    <mergeCell ref="Q16:R16"/>
    <mergeCell ref="S16:T16"/>
    <mergeCell ref="U16:V16"/>
    <mergeCell ref="D17:D20"/>
    <mergeCell ref="F17:G17"/>
    <mergeCell ref="K17:L17"/>
    <mergeCell ref="M17:N17"/>
    <mergeCell ref="O17:P17"/>
    <mergeCell ref="Q17:R17"/>
    <mergeCell ref="S17:T17"/>
    <mergeCell ref="D14:D16"/>
    <mergeCell ref="U17:V17"/>
    <mergeCell ref="X12:X13"/>
    <mergeCell ref="F13:G13"/>
    <mergeCell ref="K13:L13"/>
    <mergeCell ref="M13:N13"/>
    <mergeCell ref="O13:P13"/>
    <mergeCell ref="Q13:R13"/>
    <mergeCell ref="S13:T13"/>
    <mergeCell ref="U13:V13"/>
    <mergeCell ref="S14:T14"/>
    <mergeCell ref="U14:V14"/>
    <mergeCell ref="X14:X16"/>
    <mergeCell ref="F15:G15"/>
    <mergeCell ref="K15:L15"/>
    <mergeCell ref="M15:N15"/>
    <mergeCell ref="O15:P15"/>
    <mergeCell ref="Q15:R15"/>
    <mergeCell ref="S15:T15"/>
    <mergeCell ref="U15:V15"/>
    <mergeCell ref="F14:G14"/>
    <mergeCell ref="K14:L14"/>
    <mergeCell ref="M14:N14"/>
    <mergeCell ref="O14:P14"/>
    <mergeCell ref="Q14:R14"/>
    <mergeCell ref="F16:G16"/>
    <mergeCell ref="K10:L10"/>
    <mergeCell ref="M10:N10"/>
    <mergeCell ref="O10:P10"/>
    <mergeCell ref="Q10:R10"/>
    <mergeCell ref="S10:T10"/>
    <mergeCell ref="U10:V10"/>
    <mergeCell ref="F11:G11"/>
    <mergeCell ref="D12:D13"/>
    <mergeCell ref="F12:G12"/>
    <mergeCell ref="K12:L12"/>
    <mergeCell ref="M12:N12"/>
    <mergeCell ref="O12:P12"/>
    <mergeCell ref="Q12:R12"/>
    <mergeCell ref="K11:L11"/>
    <mergeCell ref="M11:N11"/>
    <mergeCell ref="O11:P11"/>
    <mergeCell ref="Q11:R11"/>
    <mergeCell ref="S12:T12"/>
    <mergeCell ref="U12:V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S11:T11"/>
    <mergeCell ref="U11:V11"/>
    <mergeCell ref="X9:X11"/>
    <mergeCell ref="Y9:Y16"/>
    <mergeCell ref="F10:G10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4:AB34 AA65:AB65 AA68:AB68 AA70:AB70">
    <cfRule type="containsText" dxfId="1" priority="1" operator="containsText" text="FALSE">
      <formula>NOT(ISERROR(SEARCH("FALSE",AA34)))</formula>
    </cfRule>
  </conditionalFormatting>
  <printOptions horizontalCentered="1" verticalCentered="1"/>
  <pageMargins left="0.25" right="0.25" top="0.75" bottom="0.75" header="0.3" footer="0.3"/>
  <pageSetup paperSize="12" scale="52" orientation="portrait" cellComments="asDisplayed" r:id="rId1"/>
  <ignoredErrors>
    <ignoredError sqref="W35 W46:W53 W54:X61" formulaRange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1E87C00-38EE-47B3-AECF-29710536733E}">
          <x14:formula1>
            <xm:f>삭제금지!$J$2:$J$59</xm:f>
          </x14:formula1>
          <xm:sqref>H5:J5</xm:sqref>
        </x14:dataValidation>
        <x14:dataValidation type="list" allowBlank="1" showInputMessage="1" showErrorMessage="1" xr:uid="{EEB2C458-A669-4F0F-9B97-32E9BAE55BDC}">
          <x14:formula1>
            <xm:f>삭제금지!$I$2:$I$18</xm:f>
          </x14:formula1>
          <xm:sqref>F5:G5</xm:sqref>
        </x14:dataValidation>
        <x14:dataValidation type="list" allowBlank="1" showInputMessage="1" showErrorMessage="1" xr:uid="{7F9737EA-C25C-4A8E-B81C-36E3DDCAA7A7}">
          <x14:formula1>
            <xm:f>삭제금지!$K$2:$K$59</xm:f>
          </x14:formula1>
          <xm:sqref>K5:O5</xm:sqref>
        </x14:dataValidation>
        <x14:dataValidation type="list" allowBlank="1" showInputMessage="1" showErrorMessage="1" xr:uid="{82D6E166-D899-4954-8AA5-13405AE66BBE}">
          <x14:formula1>
            <xm:f>삭제금지!$L$2:$L$4</xm:f>
          </x14:formula1>
          <xm:sqref>T5:V5</xm:sqref>
        </x14:dataValidation>
        <x14:dataValidation type="list" allowBlank="1" showInputMessage="1" showErrorMessage="1" xr:uid="{D77D4E03-59F9-4A1C-B74A-2AD6129FE078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C763-2171-4ED9-AB25-A06A775282DF}">
  <sheetPr>
    <pageSetUpPr fitToPage="1"/>
  </sheetPr>
  <dimension ref="B1:AD100"/>
  <sheetViews>
    <sheetView zoomScaleNormal="100" zoomScaleSheetLayoutView="100" workbookViewId="0">
      <pane ySplit="8" topLeftCell="A42" activePane="bottomLeft" state="frozen"/>
      <selection pane="bottomLeft" activeCell="F36" sqref="F36:G36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7.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7.7968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634" t="s">
        <v>506</v>
      </c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5"/>
      <c r="V2" s="636" t="s">
        <v>130</v>
      </c>
      <c r="W2" s="637"/>
      <c r="X2" s="638">
        <v>2027</v>
      </c>
      <c r="Y2" s="639"/>
      <c r="AA2" s="640" t="s">
        <v>143</v>
      </c>
      <c r="AB2" s="19" t="s">
        <v>144</v>
      </c>
      <c r="AC2" s="34" t="s">
        <v>152</v>
      </c>
      <c r="AD2" s="20" t="s">
        <v>145</v>
      </c>
    </row>
    <row r="3" spans="2:30" ht="18" thickBot="1">
      <c r="B3" s="643" t="s">
        <v>357</v>
      </c>
      <c r="C3" s="645" t="s">
        <v>53</v>
      </c>
      <c r="D3" s="646"/>
      <c r="E3" s="646"/>
      <c r="F3" s="645" t="s">
        <v>64</v>
      </c>
      <c r="G3" s="649"/>
      <c r="H3" s="645" t="s">
        <v>54</v>
      </c>
      <c r="I3" s="646"/>
      <c r="J3" s="646"/>
      <c r="K3" s="645" t="s">
        <v>55</v>
      </c>
      <c r="L3" s="646"/>
      <c r="M3" s="646"/>
      <c r="N3" s="646"/>
      <c r="O3" s="649"/>
      <c r="P3" s="651" t="s">
        <v>56</v>
      </c>
      <c r="Q3" s="652"/>
      <c r="R3" s="652"/>
      <c r="S3" s="652"/>
      <c r="T3" s="652"/>
      <c r="U3" s="652"/>
      <c r="V3" s="652"/>
      <c r="W3" s="652"/>
      <c r="X3" s="652"/>
      <c r="Y3" s="653"/>
      <c r="AA3" s="641"/>
      <c r="AB3" s="21" t="s">
        <v>146</v>
      </c>
      <c r="AC3" s="36" t="s">
        <v>508</v>
      </c>
      <c r="AD3" s="22" t="s">
        <v>509</v>
      </c>
    </row>
    <row r="4" spans="2:30" ht="18" thickBot="1">
      <c r="B4" s="644"/>
      <c r="C4" s="647"/>
      <c r="D4" s="648"/>
      <c r="E4" s="648"/>
      <c r="F4" s="647"/>
      <c r="G4" s="650"/>
      <c r="H4" s="647"/>
      <c r="I4" s="648"/>
      <c r="J4" s="648"/>
      <c r="K4" s="647"/>
      <c r="L4" s="648"/>
      <c r="M4" s="648"/>
      <c r="N4" s="648"/>
      <c r="O4" s="650"/>
      <c r="P4" s="651" t="s">
        <v>127</v>
      </c>
      <c r="Q4" s="652"/>
      <c r="R4" s="652"/>
      <c r="S4" s="652"/>
      <c r="T4" s="651" t="s">
        <v>61</v>
      </c>
      <c r="U4" s="652"/>
      <c r="V4" s="653"/>
      <c r="W4" s="652" t="s">
        <v>128</v>
      </c>
      <c r="X4" s="652"/>
      <c r="Y4" s="653"/>
      <c r="AA4" s="641"/>
      <c r="AB4" s="23" t="s">
        <v>147</v>
      </c>
      <c r="AC4" s="37" t="s">
        <v>510</v>
      </c>
      <c r="AD4" s="22" t="s">
        <v>511</v>
      </c>
    </row>
    <row r="5" spans="2:30" ht="46.2" customHeight="1" thickBot="1">
      <c r="B5" s="195" t="s">
        <v>505</v>
      </c>
      <c r="C5" s="654" t="s">
        <v>507</v>
      </c>
      <c r="D5" s="654"/>
      <c r="E5" s="654"/>
      <c r="F5" s="655" t="s">
        <v>590</v>
      </c>
      <c r="G5" s="656"/>
      <c r="H5" s="655" t="s">
        <v>591</v>
      </c>
      <c r="I5" s="654"/>
      <c r="J5" s="654"/>
      <c r="K5" s="655"/>
      <c r="L5" s="654"/>
      <c r="M5" s="654"/>
      <c r="N5" s="654"/>
      <c r="O5" s="656"/>
      <c r="P5" s="655" t="s">
        <v>592</v>
      </c>
      <c r="Q5" s="654"/>
      <c r="R5" s="654"/>
      <c r="S5" s="654"/>
      <c r="T5" s="655" t="s">
        <v>513</v>
      </c>
      <c r="U5" s="654"/>
      <c r="V5" s="654"/>
      <c r="W5" s="844" t="s">
        <v>894</v>
      </c>
      <c r="X5" s="845"/>
      <c r="Y5" s="846"/>
      <c r="AA5" s="642"/>
      <c r="AB5" s="24" t="s">
        <v>148</v>
      </c>
      <c r="AC5" s="38"/>
      <c r="AD5" s="140"/>
    </row>
    <row r="6" spans="2:30" ht="15.75" customHeight="1" thickBot="1">
      <c r="U6" s="660"/>
      <c r="V6" s="660"/>
      <c r="W6" s="660"/>
      <c r="X6" s="660"/>
      <c r="Y6" s="660"/>
    </row>
    <row r="7" spans="2:30" s="10" customFormat="1" ht="22.5" customHeight="1">
      <c r="B7" s="661" t="s">
        <v>2</v>
      </c>
      <c r="C7" s="662"/>
      <c r="D7" s="665" t="s">
        <v>120</v>
      </c>
      <c r="E7" s="667" t="s">
        <v>57</v>
      </c>
      <c r="F7" s="668"/>
      <c r="G7" s="669"/>
      <c r="H7" s="670" t="s">
        <v>133</v>
      </c>
      <c r="I7" s="672" t="s">
        <v>134</v>
      </c>
      <c r="J7" s="674" t="s">
        <v>135</v>
      </c>
      <c r="K7" s="676" t="s">
        <v>58</v>
      </c>
      <c r="L7" s="672"/>
      <c r="M7" s="672"/>
      <c r="N7" s="677"/>
      <c r="O7" s="678" t="s">
        <v>59</v>
      </c>
      <c r="P7" s="672"/>
      <c r="Q7" s="672"/>
      <c r="R7" s="677"/>
      <c r="S7" s="676" t="s">
        <v>60</v>
      </c>
      <c r="T7" s="672"/>
      <c r="U7" s="672"/>
      <c r="V7" s="679"/>
      <c r="W7" s="670" t="s">
        <v>136</v>
      </c>
      <c r="X7" s="674"/>
      <c r="Y7" s="669" t="s">
        <v>137</v>
      </c>
      <c r="Z7" s="9"/>
    </row>
    <row r="8" spans="2:30" s="10" customFormat="1" ht="22.5" customHeight="1" thickBot="1">
      <c r="B8" s="663"/>
      <c r="C8" s="664"/>
      <c r="D8" s="666"/>
      <c r="E8" s="25" t="s">
        <v>18</v>
      </c>
      <c r="F8" s="697" t="s">
        <v>19</v>
      </c>
      <c r="G8" s="698"/>
      <c r="H8" s="671"/>
      <c r="I8" s="673"/>
      <c r="J8" s="675"/>
      <c r="K8" s="699" t="s">
        <v>0</v>
      </c>
      <c r="L8" s="673"/>
      <c r="M8" s="673" t="s">
        <v>62</v>
      </c>
      <c r="N8" s="700"/>
      <c r="O8" s="701" t="s">
        <v>0</v>
      </c>
      <c r="P8" s="673"/>
      <c r="Q8" s="673" t="s">
        <v>62</v>
      </c>
      <c r="R8" s="700"/>
      <c r="S8" s="699" t="s">
        <v>0</v>
      </c>
      <c r="T8" s="673"/>
      <c r="U8" s="673" t="s">
        <v>62</v>
      </c>
      <c r="V8" s="702"/>
      <c r="W8" s="671"/>
      <c r="X8" s="675"/>
      <c r="Y8" s="696"/>
      <c r="AA8" s="680" t="s">
        <v>496</v>
      </c>
      <c r="AB8" s="680"/>
      <c r="AC8" s="680"/>
      <c r="AD8" s="680"/>
    </row>
    <row r="9" spans="2:30" ht="16.5" customHeight="1" thickBot="1">
      <c r="B9" s="681" t="s">
        <v>339</v>
      </c>
      <c r="C9" s="682"/>
      <c r="D9" s="687" t="s">
        <v>21</v>
      </c>
      <c r="E9" s="39" t="s">
        <v>12</v>
      </c>
      <c r="F9" s="690" t="s">
        <v>203</v>
      </c>
      <c r="G9" s="691"/>
      <c r="H9" s="40">
        <v>4</v>
      </c>
      <c r="I9" s="41" t="s">
        <v>340</v>
      </c>
      <c r="J9" s="170">
        <f>SUM(K9:V9)</f>
        <v>3</v>
      </c>
      <c r="K9" s="690">
        <v>3</v>
      </c>
      <c r="L9" s="692"/>
      <c r="M9" s="693"/>
      <c r="N9" s="694"/>
      <c r="O9" s="695"/>
      <c r="P9" s="692"/>
      <c r="Q9" s="693"/>
      <c r="R9" s="694"/>
      <c r="S9" s="695"/>
      <c r="T9" s="692"/>
      <c r="U9" s="693"/>
      <c r="V9" s="691"/>
      <c r="W9" s="43">
        <f>SUM(K9:V9)</f>
        <v>3</v>
      </c>
      <c r="X9" s="707">
        <f>SUM(W9:W11)</f>
        <v>9</v>
      </c>
      <c r="Y9" s="709">
        <v>24</v>
      </c>
      <c r="AA9" s="135" t="s">
        <v>18</v>
      </c>
      <c r="AB9" s="136" t="s">
        <v>501</v>
      </c>
      <c r="AC9" s="136" t="s">
        <v>502</v>
      </c>
      <c r="AD9" s="137" t="s">
        <v>503</v>
      </c>
    </row>
    <row r="10" spans="2:30" ht="18" thickBot="1">
      <c r="B10" s="683"/>
      <c r="C10" s="684"/>
      <c r="D10" s="688"/>
      <c r="E10" s="44" t="s">
        <v>12</v>
      </c>
      <c r="F10" s="710" t="s">
        <v>204</v>
      </c>
      <c r="G10" s="711"/>
      <c r="H10" s="45">
        <v>4</v>
      </c>
      <c r="I10" s="46" t="s">
        <v>340</v>
      </c>
      <c r="J10" s="47">
        <f>SUM(K10:V10)</f>
        <v>3</v>
      </c>
      <c r="K10" s="710"/>
      <c r="L10" s="712"/>
      <c r="M10" s="713">
        <v>3</v>
      </c>
      <c r="N10" s="714"/>
      <c r="O10" s="715"/>
      <c r="P10" s="712"/>
      <c r="Q10" s="713"/>
      <c r="R10" s="714"/>
      <c r="S10" s="715"/>
      <c r="T10" s="712"/>
      <c r="U10" s="713"/>
      <c r="V10" s="711"/>
      <c r="W10" s="48">
        <f t="shared" ref="W10:W23" si="0">SUM(K10:V10)</f>
        <v>3</v>
      </c>
      <c r="X10" s="708"/>
      <c r="Y10" s="709"/>
      <c r="AA10" s="138" t="s">
        <v>497</v>
      </c>
      <c r="AB10" s="139">
        <v>4</v>
      </c>
      <c r="AC10" s="139">
        <v>-1</v>
      </c>
      <c r="AD10" s="22" t="s">
        <v>340</v>
      </c>
    </row>
    <row r="11" spans="2:30" ht="18" thickBot="1">
      <c r="B11" s="683"/>
      <c r="C11" s="684"/>
      <c r="D11" s="689"/>
      <c r="E11" s="49" t="s">
        <v>341</v>
      </c>
      <c r="F11" s="716" t="s">
        <v>342</v>
      </c>
      <c r="G11" s="706"/>
      <c r="H11" s="50">
        <v>4</v>
      </c>
      <c r="I11" s="51" t="s">
        <v>343</v>
      </c>
      <c r="J11" s="149">
        <f t="shared" ref="J11:J32" si="1">SUM(K11:V11)</f>
        <v>3</v>
      </c>
      <c r="K11" s="716"/>
      <c r="L11" s="704"/>
      <c r="M11" s="705"/>
      <c r="N11" s="717"/>
      <c r="O11" s="703"/>
      <c r="P11" s="704"/>
      <c r="Q11" s="705">
        <v>3</v>
      </c>
      <c r="R11" s="717"/>
      <c r="S11" s="703"/>
      <c r="T11" s="704"/>
      <c r="U11" s="705"/>
      <c r="V11" s="706"/>
      <c r="W11" s="48">
        <f t="shared" si="0"/>
        <v>3</v>
      </c>
      <c r="X11" s="708"/>
      <c r="Y11" s="709"/>
      <c r="AA11" s="138" t="s">
        <v>498</v>
      </c>
      <c r="AB11" s="139">
        <v>3</v>
      </c>
      <c r="AC11" s="139"/>
      <c r="AD11" s="22">
        <v>3</v>
      </c>
    </row>
    <row r="12" spans="2:30" ht="18" thickBot="1">
      <c r="B12" s="683"/>
      <c r="C12" s="684"/>
      <c r="D12" s="687" t="s">
        <v>5</v>
      </c>
      <c r="E12" s="39" t="s">
        <v>12</v>
      </c>
      <c r="F12" s="690" t="s">
        <v>215</v>
      </c>
      <c r="G12" s="691"/>
      <c r="H12" s="40">
        <v>4</v>
      </c>
      <c r="I12" s="41" t="s">
        <v>340</v>
      </c>
      <c r="J12" s="42">
        <f t="shared" si="1"/>
        <v>3</v>
      </c>
      <c r="K12" s="690">
        <v>3</v>
      </c>
      <c r="L12" s="692"/>
      <c r="M12" s="693"/>
      <c r="N12" s="694"/>
      <c r="O12" s="695"/>
      <c r="P12" s="692"/>
      <c r="Q12" s="693"/>
      <c r="R12" s="694"/>
      <c r="S12" s="695"/>
      <c r="T12" s="692"/>
      <c r="U12" s="693"/>
      <c r="V12" s="691"/>
      <c r="W12" s="43">
        <f t="shared" si="0"/>
        <v>3</v>
      </c>
      <c r="X12" s="707">
        <f>SUM(W12:W13)</f>
        <v>6</v>
      </c>
      <c r="Y12" s="709"/>
      <c r="AA12" s="138" t="s">
        <v>499</v>
      </c>
      <c r="AB12" s="139">
        <v>4</v>
      </c>
      <c r="AC12" s="139" t="s">
        <v>504</v>
      </c>
      <c r="AD12" s="22" t="s">
        <v>343</v>
      </c>
    </row>
    <row r="13" spans="2:30" ht="18" thickBot="1">
      <c r="B13" s="683"/>
      <c r="C13" s="684"/>
      <c r="D13" s="688"/>
      <c r="E13" s="44" t="s">
        <v>12</v>
      </c>
      <c r="F13" s="710" t="s">
        <v>217</v>
      </c>
      <c r="G13" s="711"/>
      <c r="H13" s="45">
        <v>4</v>
      </c>
      <c r="I13" s="46" t="s">
        <v>340</v>
      </c>
      <c r="J13" s="171">
        <f t="shared" si="1"/>
        <v>3</v>
      </c>
      <c r="K13" s="710"/>
      <c r="L13" s="712"/>
      <c r="M13" s="713">
        <v>3</v>
      </c>
      <c r="N13" s="714"/>
      <c r="O13" s="715"/>
      <c r="P13" s="712"/>
      <c r="Q13" s="713"/>
      <c r="R13" s="714"/>
      <c r="S13" s="715"/>
      <c r="T13" s="712"/>
      <c r="U13" s="713"/>
      <c r="V13" s="711"/>
      <c r="W13" s="48">
        <f t="shared" si="0"/>
        <v>3</v>
      </c>
      <c r="X13" s="708"/>
      <c r="Y13" s="709"/>
      <c r="AA13" s="138" t="s">
        <v>500</v>
      </c>
      <c r="AB13" s="139">
        <v>3</v>
      </c>
      <c r="AC13" s="139" t="s">
        <v>504</v>
      </c>
      <c r="AD13" s="22" t="s">
        <v>348</v>
      </c>
    </row>
    <row r="14" spans="2:30" ht="18" thickBot="1">
      <c r="B14" s="683"/>
      <c r="C14" s="684"/>
      <c r="D14" s="687" t="s">
        <v>6</v>
      </c>
      <c r="E14" s="39" t="s">
        <v>12</v>
      </c>
      <c r="F14" s="690" t="s">
        <v>222</v>
      </c>
      <c r="G14" s="691"/>
      <c r="H14" s="40">
        <v>4</v>
      </c>
      <c r="I14" s="41" t="s">
        <v>340</v>
      </c>
      <c r="J14" s="172">
        <f t="shared" si="1"/>
        <v>3</v>
      </c>
      <c r="K14" s="690">
        <v>3</v>
      </c>
      <c r="L14" s="692"/>
      <c r="M14" s="693"/>
      <c r="N14" s="694"/>
      <c r="O14" s="695"/>
      <c r="P14" s="692"/>
      <c r="Q14" s="693"/>
      <c r="R14" s="694"/>
      <c r="S14" s="695"/>
      <c r="T14" s="692"/>
      <c r="U14" s="693"/>
      <c r="V14" s="691"/>
      <c r="W14" s="43">
        <f t="shared" si="0"/>
        <v>3</v>
      </c>
      <c r="X14" s="707">
        <f t="shared" ref="X14" si="2">SUM(W14:W16)</f>
        <v>9</v>
      </c>
      <c r="Y14" s="709"/>
    </row>
    <row r="15" spans="2:30" ht="18" thickBot="1">
      <c r="B15" s="683"/>
      <c r="C15" s="684"/>
      <c r="D15" s="688"/>
      <c r="E15" s="44" t="s">
        <v>12</v>
      </c>
      <c r="F15" s="710" t="s">
        <v>228</v>
      </c>
      <c r="G15" s="711"/>
      <c r="H15" s="45">
        <v>4</v>
      </c>
      <c r="I15" s="46" t="s">
        <v>340</v>
      </c>
      <c r="J15" s="47">
        <f t="shared" si="1"/>
        <v>3</v>
      </c>
      <c r="K15" s="710"/>
      <c r="L15" s="712"/>
      <c r="M15" s="713">
        <v>3</v>
      </c>
      <c r="N15" s="714"/>
      <c r="O15" s="715"/>
      <c r="P15" s="712"/>
      <c r="Q15" s="713"/>
      <c r="R15" s="714"/>
      <c r="S15" s="715"/>
      <c r="T15" s="712"/>
      <c r="U15" s="713"/>
      <c r="V15" s="711"/>
      <c r="W15" s="48">
        <f t="shared" si="0"/>
        <v>3</v>
      </c>
      <c r="X15" s="708"/>
      <c r="Y15" s="709"/>
    </row>
    <row r="16" spans="2:30" ht="18" thickBot="1">
      <c r="B16" s="683"/>
      <c r="C16" s="684"/>
      <c r="D16" s="689"/>
      <c r="E16" s="53" t="s">
        <v>341</v>
      </c>
      <c r="F16" s="716" t="s">
        <v>344</v>
      </c>
      <c r="G16" s="706"/>
      <c r="H16" s="50">
        <v>4</v>
      </c>
      <c r="I16" s="51" t="s">
        <v>343</v>
      </c>
      <c r="J16" s="47">
        <f t="shared" si="1"/>
        <v>3</v>
      </c>
      <c r="K16" s="716"/>
      <c r="L16" s="704"/>
      <c r="M16" s="705"/>
      <c r="N16" s="717"/>
      <c r="O16" s="703">
        <v>3</v>
      </c>
      <c r="P16" s="704"/>
      <c r="Q16" s="705"/>
      <c r="R16" s="717"/>
      <c r="S16" s="703"/>
      <c r="T16" s="704"/>
      <c r="U16" s="705"/>
      <c r="V16" s="706"/>
      <c r="W16" s="48">
        <f t="shared" si="0"/>
        <v>3</v>
      </c>
      <c r="X16" s="708"/>
      <c r="Y16" s="709"/>
    </row>
    <row r="17" spans="2:29" ht="18" thickBot="1">
      <c r="B17" s="683"/>
      <c r="C17" s="684"/>
      <c r="D17" s="687" t="s">
        <v>345</v>
      </c>
      <c r="E17" s="39" t="s">
        <v>12</v>
      </c>
      <c r="F17" s="690" t="s">
        <v>236</v>
      </c>
      <c r="G17" s="691"/>
      <c r="H17" s="40">
        <v>3</v>
      </c>
      <c r="I17" s="54">
        <v>3</v>
      </c>
      <c r="J17" s="170">
        <f t="shared" si="1"/>
        <v>3</v>
      </c>
      <c r="K17" s="718">
        <v>3</v>
      </c>
      <c r="L17" s="719"/>
      <c r="M17" s="720"/>
      <c r="N17" s="721"/>
      <c r="O17" s="722"/>
      <c r="P17" s="719"/>
      <c r="Q17" s="720"/>
      <c r="R17" s="721"/>
      <c r="S17" s="722"/>
      <c r="T17" s="719"/>
      <c r="U17" s="720"/>
      <c r="V17" s="723"/>
      <c r="W17" s="43">
        <f t="shared" si="0"/>
        <v>3</v>
      </c>
      <c r="X17" s="707">
        <f>SUM(W17:W18)</f>
        <v>6</v>
      </c>
      <c r="Y17" s="709">
        <v>6</v>
      </c>
    </row>
    <row r="18" spans="2:29" ht="18" thickBot="1">
      <c r="B18" s="683"/>
      <c r="C18" s="684"/>
      <c r="D18" s="688"/>
      <c r="E18" s="55" t="s">
        <v>12</v>
      </c>
      <c r="F18" s="716" t="s">
        <v>237</v>
      </c>
      <c r="G18" s="706"/>
      <c r="H18" s="56">
        <v>3</v>
      </c>
      <c r="I18" s="57">
        <v>3</v>
      </c>
      <c r="J18" s="52">
        <f t="shared" si="1"/>
        <v>3</v>
      </c>
      <c r="K18" s="716"/>
      <c r="L18" s="704"/>
      <c r="M18" s="705">
        <v>3</v>
      </c>
      <c r="N18" s="717"/>
      <c r="O18" s="703"/>
      <c r="P18" s="704"/>
      <c r="Q18" s="705"/>
      <c r="R18" s="717"/>
      <c r="S18" s="703"/>
      <c r="T18" s="704"/>
      <c r="U18" s="705"/>
      <c r="V18" s="706"/>
      <c r="W18" s="58">
        <f t="shared" si="0"/>
        <v>3</v>
      </c>
      <c r="X18" s="725"/>
      <c r="Y18" s="709"/>
      <c r="AA18" s="724"/>
      <c r="AB18" s="724"/>
      <c r="AC18" s="157"/>
    </row>
    <row r="19" spans="2:29" ht="18" thickBot="1">
      <c r="B19" s="683"/>
      <c r="C19" s="684"/>
      <c r="D19" s="688"/>
      <c r="E19" s="39" t="s">
        <v>12</v>
      </c>
      <c r="F19" s="690" t="s">
        <v>239</v>
      </c>
      <c r="G19" s="691"/>
      <c r="H19" s="40">
        <v>4</v>
      </c>
      <c r="I19" s="54" t="s">
        <v>340</v>
      </c>
      <c r="J19" s="42">
        <f t="shared" si="1"/>
        <v>3</v>
      </c>
      <c r="K19" s="690">
        <v>3</v>
      </c>
      <c r="L19" s="692"/>
      <c r="M19" s="693"/>
      <c r="N19" s="694"/>
      <c r="O19" s="695"/>
      <c r="P19" s="692"/>
      <c r="Q19" s="693"/>
      <c r="R19" s="694"/>
      <c r="S19" s="695"/>
      <c r="T19" s="692"/>
      <c r="U19" s="693"/>
      <c r="V19" s="691"/>
      <c r="W19" s="43">
        <f t="shared" si="0"/>
        <v>3</v>
      </c>
      <c r="X19" s="707">
        <f>SUM(W19:W20)</f>
        <v>6</v>
      </c>
      <c r="Y19" s="709">
        <v>12</v>
      </c>
    </row>
    <row r="20" spans="2:29" ht="18" thickBot="1">
      <c r="B20" s="683"/>
      <c r="C20" s="684"/>
      <c r="D20" s="689"/>
      <c r="E20" s="53" t="s">
        <v>12</v>
      </c>
      <c r="F20" s="716" t="s">
        <v>240</v>
      </c>
      <c r="G20" s="706"/>
      <c r="H20" s="50">
        <v>4</v>
      </c>
      <c r="I20" s="51" t="s">
        <v>340</v>
      </c>
      <c r="J20" s="150">
        <f t="shared" si="1"/>
        <v>3</v>
      </c>
      <c r="K20" s="716"/>
      <c r="L20" s="704"/>
      <c r="M20" s="705">
        <v>3</v>
      </c>
      <c r="N20" s="717"/>
      <c r="O20" s="703"/>
      <c r="P20" s="704"/>
      <c r="Q20" s="705"/>
      <c r="R20" s="717"/>
      <c r="S20" s="703"/>
      <c r="T20" s="704"/>
      <c r="U20" s="705"/>
      <c r="V20" s="706"/>
      <c r="W20" s="58">
        <f t="shared" si="0"/>
        <v>3</v>
      </c>
      <c r="X20" s="725"/>
      <c r="Y20" s="709"/>
    </row>
    <row r="21" spans="2:29" ht="18" thickBot="1">
      <c r="B21" s="683"/>
      <c r="C21" s="684"/>
      <c r="D21" s="687" t="s">
        <v>26</v>
      </c>
      <c r="E21" s="39" t="s">
        <v>12</v>
      </c>
      <c r="F21" s="690" t="s">
        <v>257</v>
      </c>
      <c r="G21" s="691"/>
      <c r="H21" s="40">
        <v>4</v>
      </c>
      <c r="I21" s="54" t="s">
        <v>340</v>
      </c>
      <c r="J21" s="42">
        <f t="shared" si="1"/>
        <v>3</v>
      </c>
      <c r="K21" s="690">
        <v>3</v>
      </c>
      <c r="L21" s="692"/>
      <c r="M21" s="693"/>
      <c r="N21" s="694"/>
      <c r="O21" s="695"/>
      <c r="P21" s="692"/>
      <c r="Q21" s="693"/>
      <c r="R21" s="694"/>
      <c r="S21" s="695"/>
      <c r="T21" s="692"/>
      <c r="U21" s="693"/>
      <c r="V21" s="691"/>
      <c r="W21" s="43">
        <f t="shared" si="0"/>
        <v>3</v>
      </c>
      <c r="X21" s="682">
        <f>SUM(W21:W23)</f>
        <v>9</v>
      </c>
      <c r="Y21" s="709"/>
    </row>
    <row r="22" spans="2:29" ht="18" thickBot="1">
      <c r="B22" s="683"/>
      <c r="C22" s="684"/>
      <c r="D22" s="688"/>
      <c r="E22" s="49" t="s">
        <v>12</v>
      </c>
      <c r="F22" s="710" t="s">
        <v>258</v>
      </c>
      <c r="G22" s="711"/>
      <c r="H22" s="45">
        <v>4</v>
      </c>
      <c r="I22" s="46" t="s">
        <v>340</v>
      </c>
      <c r="J22" s="150">
        <f t="shared" si="1"/>
        <v>3</v>
      </c>
      <c r="K22" s="710"/>
      <c r="L22" s="712"/>
      <c r="M22" s="713"/>
      <c r="N22" s="714"/>
      <c r="O22" s="715">
        <v>3</v>
      </c>
      <c r="P22" s="712"/>
      <c r="Q22" s="713"/>
      <c r="R22" s="714"/>
      <c r="S22" s="715"/>
      <c r="T22" s="712"/>
      <c r="U22" s="713"/>
      <c r="V22" s="711"/>
      <c r="W22" s="196">
        <f>SUM(K22:V22)</f>
        <v>3</v>
      </c>
      <c r="X22" s="684"/>
      <c r="Y22" s="709"/>
    </row>
    <row r="23" spans="2:29" ht="18" thickBot="1">
      <c r="B23" s="683"/>
      <c r="C23" s="684"/>
      <c r="D23" s="688"/>
      <c r="E23" s="44" t="s">
        <v>534</v>
      </c>
      <c r="F23" s="710" t="s">
        <v>535</v>
      </c>
      <c r="G23" s="711"/>
      <c r="H23" s="45">
        <v>4</v>
      </c>
      <c r="I23" s="46" t="s">
        <v>343</v>
      </c>
      <c r="J23" s="150">
        <v>3</v>
      </c>
      <c r="K23" s="710"/>
      <c r="L23" s="712"/>
      <c r="M23" s="713"/>
      <c r="N23" s="714"/>
      <c r="O23" s="715"/>
      <c r="P23" s="712"/>
      <c r="Q23" s="713">
        <v>3</v>
      </c>
      <c r="R23" s="714"/>
      <c r="S23" s="715"/>
      <c r="T23" s="712"/>
      <c r="U23" s="713"/>
      <c r="V23" s="711"/>
      <c r="W23" s="48">
        <f t="shared" si="0"/>
        <v>3</v>
      </c>
      <c r="X23" s="684"/>
      <c r="Y23" s="709"/>
    </row>
    <row r="24" spans="2:29" ht="16.5" customHeight="1" thickBot="1">
      <c r="B24" s="683"/>
      <c r="C24" s="684"/>
      <c r="D24" s="687" t="s">
        <v>8</v>
      </c>
      <c r="E24" s="39" t="s">
        <v>346</v>
      </c>
      <c r="F24" s="690" t="s">
        <v>347</v>
      </c>
      <c r="G24" s="691"/>
      <c r="H24" s="40">
        <v>3</v>
      </c>
      <c r="I24" s="54" t="s">
        <v>348</v>
      </c>
      <c r="J24" s="170">
        <f t="shared" si="1"/>
        <v>2</v>
      </c>
      <c r="K24" s="690">
        <v>2</v>
      </c>
      <c r="L24" s="692"/>
      <c r="M24" s="693"/>
      <c r="N24" s="694"/>
      <c r="O24" s="695"/>
      <c r="P24" s="692"/>
      <c r="Q24" s="693"/>
      <c r="R24" s="694"/>
      <c r="S24" s="695"/>
      <c r="T24" s="692"/>
      <c r="U24" s="693"/>
      <c r="V24" s="691"/>
      <c r="W24" s="43">
        <f>SUM(K24:V24)</f>
        <v>2</v>
      </c>
      <c r="X24" s="726">
        <f>SUM(W24:W28)</f>
        <v>8</v>
      </c>
      <c r="Y24" s="709">
        <v>8</v>
      </c>
    </row>
    <row r="25" spans="2:29" ht="18" thickBot="1">
      <c r="B25" s="683"/>
      <c r="C25" s="684"/>
      <c r="D25" s="688"/>
      <c r="E25" s="44" t="s">
        <v>346</v>
      </c>
      <c r="F25" s="710" t="s">
        <v>349</v>
      </c>
      <c r="G25" s="711"/>
      <c r="H25" s="45">
        <v>3</v>
      </c>
      <c r="I25" s="46" t="s">
        <v>348</v>
      </c>
      <c r="J25" s="47">
        <f t="shared" si="1"/>
        <v>2</v>
      </c>
      <c r="K25" s="710"/>
      <c r="L25" s="712"/>
      <c r="M25" s="713">
        <v>2</v>
      </c>
      <c r="N25" s="714"/>
      <c r="O25" s="715"/>
      <c r="P25" s="712"/>
      <c r="Q25" s="713"/>
      <c r="R25" s="714"/>
      <c r="S25" s="715"/>
      <c r="T25" s="712"/>
      <c r="U25" s="713"/>
      <c r="V25" s="711"/>
      <c r="W25" s="48">
        <f t="shared" ref="W25:W28" si="3">SUM(K25:V25)</f>
        <v>2</v>
      </c>
      <c r="X25" s="727"/>
      <c r="Y25" s="709"/>
    </row>
    <row r="26" spans="2:29" ht="18" thickBot="1">
      <c r="B26" s="683"/>
      <c r="C26" s="684"/>
      <c r="D26" s="688"/>
      <c r="E26" s="44" t="s">
        <v>341</v>
      </c>
      <c r="F26" s="710" t="s">
        <v>364</v>
      </c>
      <c r="G26" s="711"/>
      <c r="H26" s="45">
        <v>2</v>
      </c>
      <c r="I26" s="46" t="s">
        <v>350</v>
      </c>
      <c r="J26" s="47">
        <f t="shared" si="1"/>
        <v>1</v>
      </c>
      <c r="K26" s="710"/>
      <c r="L26" s="712"/>
      <c r="M26" s="713"/>
      <c r="N26" s="714"/>
      <c r="O26" s="715">
        <v>1</v>
      </c>
      <c r="P26" s="712"/>
      <c r="Q26" s="713"/>
      <c r="R26" s="714"/>
      <c r="S26" s="715"/>
      <c r="T26" s="712"/>
      <c r="U26" s="713"/>
      <c r="V26" s="711"/>
      <c r="W26" s="48">
        <f t="shared" si="3"/>
        <v>1</v>
      </c>
      <c r="X26" s="727"/>
      <c r="Y26" s="709"/>
    </row>
    <row r="27" spans="2:29" ht="18" thickBot="1">
      <c r="B27" s="683"/>
      <c r="C27" s="684"/>
      <c r="D27" s="688"/>
      <c r="E27" s="44" t="s">
        <v>341</v>
      </c>
      <c r="F27" s="710" t="s">
        <v>515</v>
      </c>
      <c r="G27" s="711"/>
      <c r="H27" s="45">
        <v>3</v>
      </c>
      <c r="I27" s="46" t="s">
        <v>348</v>
      </c>
      <c r="J27" s="47">
        <f t="shared" si="1"/>
        <v>2</v>
      </c>
      <c r="K27" s="710"/>
      <c r="L27" s="712"/>
      <c r="M27" s="713"/>
      <c r="N27" s="714"/>
      <c r="O27" s="715"/>
      <c r="P27" s="712"/>
      <c r="Q27" s="713">
        <v>2</v>
      </c>
      <c r="R27" s="714"/>
      <c r="S27" s="715"/>
      <c r="T27" s="712"/>
      <c r="U27" s="713"/>
      <c r="V27" s="711"/>
      <c r="W27" s="48">
        <f t="shared" si="3"/>
        <v>2</v>
      </c>
      <c r="X27" s="727"/>
      <c r="Y27" s="709"/>
    </row>
    <row r="28" spans="2:29" ht="18" thickBot="1">
      <c r="B28" s="683"/>
      <c r="C28" s="684"/>
      <c r="D28" s="689"/>
      <c r="E28" s="53" t="s">
        <v>341</v>
      </c>
      <c r="F28" s="716" t="s">
        <v>516</v>
      </c>
      <c r="G28" s="706"/>
      <c r="H28" s="50">
        <v>2</v>
      </c>
      <c r="I28" s="51" t="s">
        <v>350</v>
      </c>
      <c r="J28" s="52">
        <f t="shared" si="1"/>
        <v>1</v>
      </c>
      <c r="K28" s="716"/>
      <c r="L28" s="704"/>
      <c r="M28" s="705"/>
      <c r="N28" s="717"/>
      <c r="O28" s="703"/>
      <c r="P28" s="704"/>
      <c r="Q28" s="705"/>
      <c r="R28" s="717"/>
      <c r="S28" s="703">
        <v>1</v>
      </c>
      <c r="T28" s="704"/>
      <c r="U28" s="705"/>
      <c r="V28" s="706"/>
      <c r="W28" s="58">
        <f t="shared" si="3"/>
        <v>1</v>
      </c>
      <c r="X28" s="728"/>
      <c r="Y28" s="709"/>
    </row>
    <row r="29" spans="2:29" ht="18" thickBot="1">
      <c r="B29" s="683"/>
      <c r="C29" s="684"/>
      <c r="D29" s="687" t="s">
        <v>28</v>
      </c>
      <c r="E29" s="39" t="s">
        <v>346</v>
      </c>
      <c r="F29" s="690" t="s">
        <v>47</v>
      </c>
      <c r="G29" s="691"/>
      <c r="H29" s="40">
        <v>3</v>
      </c>
      <c r="I29" s="59" t="s">
        <v>348</v>
      </c>
      <c r="J29" s="42">
        <f t="shared" si="1"/>
        <v>3</v>
      </c>
      <c r="K29" s="690"/>
      <c r="L29" s="692"/>
      <c r="M29" s="693"/>
      <c r="N29" s="694"/>
      <c r="O29" s="695">
        <v>3</v>
      </c>
      <c r="P29" s="692"/>
      <c r="Q29" s="693"/>
      <c r="R29" s="694"/>
      <c r="S29" s="695"/>
      <c r="T29" s="692"/>
      <c r="U29" s="693"/>
      <c r="V29" s="691"/>
      <c r="W29" s="729">
        <f>SUM(K29:V30)</f>
        <v>6</v>
      </c>
      <c r="X29" s="730"/>
      <c r="Y29" s="709">
        <v>6</v>
      </c>
    </row>
    <row r="30" spans="2:29" ht="18" thickBot="1">
      <c r="B30" s="683"/>
      <c r="C30" s="684"/>
      <c r="D30" s="688"/>
      <c r="E30" s="49" t="s">
        <v>341</v>
      </c>
      <c r="F30" s="716" t="s">
        <v>285</v>
      </c>
      <c r="G30" s="706"/>
      <c r="H30" s="45">
        <v>3</v>
      </c>
      <c r="I30" s="46" t="s">
        <v>348</v>
      </c>
      <c r="J30" s="172">
        <f t="shared" si="1"/>
        <v>3</v>
      </c>
      <c r="K30" s="710"/>
      <c r="L30" s="712"/>
      <c r="M30" s="713"/>
      <c r="N30" s="714"/>
      <c r="O30" s="715"/>
      <c r="P30" s="712"/>
      <c r="Q30" s="713">
        <v>3</v>
      </c>
      <c r="R30" s="714"/>
      <c r="S30" s="715"/>
      <c r="T30" s="712"/>
      <c r="U30" s="713"/>
      <c r="V30" s="711"/>
      <c r="W30" s="731"/>
      <c r="X30" s="732"/>
      <c r="Y30" s="709"/>
    </row>
    <row r="31" spans="2:29" ht="16.5" customHeight="1" thickBot="1">
      <c r="B31" s="683"/>
      <c r="C31" s="684"/>
      <c r="D31" s="733" t="s">
        <v>351</v>
      </c>
      <c r="E31" s="39" t="s">
        <v>346</v>
      </c>
      <c r="F31" s="690" t="s">
        <v>594</v>
      </c>
      <c r="G31" s="691"/>
      <c r="H31" s="40">
        <v>4</v>
      </c>
      <c r="I31" s="54" t="s">
        <v>343</v>
      </c>
      <c r="J31" s="170">
        <f t="shared" si="1"/>
        <v>3</v>
      </c>
      <c r="K31" s="690">
        <v>3</v>
      </c>
      <c r="L31" s="692"/>
      <c r="M31" s="693"/>
      <c r="N31" s="694"/>
      <c r="O31" s="695"/>
      <c r="P31" s="692"/>
      <c r="Q31" s="693"/>
      <c r="R31" s="694"/>
      <c r="S31" s="695"/>
      <c r="T31" s="692"/>
      <c r="U31" s="693"/>
      <c r="V31" s="691"/>
      <c r="W31" s="729">
        <f>SUM(K31:V33)</f>
        <v>9</v>
      </c>
      <c r="X31" s="730"/>
      <c r="Y31" s="709">
        <v>8</v>
      </c>
    </row>
    <row r="32" spans="2:29" ht="27.6" customHeight="1" thickBot="1">
      <c r="B32" s="683"/>
      <c r="C32" s="684"/>
      <c r="D32" s="734"/>
      <c r="E32" s="49" t="s">
        <v>341</v>
      </c>
      <c r="F32" s="915" t="s">
        <v>610</v>
      </c>
      <c r="G32" s="916"/>
      <c r="H32" s="45">
        <v>4</v>
      </c>
      <c r="I32" s="46" t="s">
        <v>343</v>
      </c>
      <c r="J32" s="47">
        <f t="shared" si="1"/>
        <v>3</v>
      </c>
      <c r="K32" s="710">
        <v>3</v>
      </c>
      <c r="L32" s="712"/>
      <c r="M32" s="713"/>
      <c r="N32" s="714"/>
      <c r="O32" s="715"/>
      <c r="P32" s="712"/>
      <c r="Q32" s="713"/>
      <c r="R32" s="714"/>
      <c r="S32" s="715"/>
      <c r="T32" s="712"/>
      <c r="U32" s="713"/>
      <c r="V32" s="711"/>
      <c r="W32" s="731"/>
      <c r="X32" s="732"/>
      <c r="Y32" s="709"/>
    </row>
    <row r="33" spans="2:29" ht="28.2" customHeight="1" thickBot="1">
      <c r="B33" s="685"/>
      <c r="C33" s="686"/>
      <c r="D33" s="734"/>
      <c r="E33" s="49" t="s">
        <v>341</v>
      </c>
      <c r="F33" s="747" t="s">
        <v>595</v>
      </c>
      <c r="G33" s="748"/>
      <c r="H33" s="50">
        <v>4</v>
      </c>
      <c r="I33" s="51" t="s">
        <v>343</v>
      </c>
      <c r="J33" s="47">
        <v>3</v>
      </c>
      <c r="K33" s="716"/>
      <c r="L33" s="704"/>
      <c r="M33" s="705"/>
      <c r="N33" s="717"/>
      <c r="O33" s="715"/>
      <c r="P33" s="712"/>
      <c r="Q33" s="713"/>
      <c r="R33" s="714"/>
      <c r="S33" s="715">
        <v>3</v>
      </c>
      <c r="T33" s="712"/>
      <c r="U33" s="713"/>
      <c r="V33" s="711"/>
      <c r="W33" s="731"/>
      <c r="X33" s="732"/>
      <c r="Y33" s="709"/>
    </row>
    <row r="34" spans="2:29" ht="24.75" customHeight="1" thickBot="1">
      <c r="B34" s="739" t="s">
        <v>358</v>
      </c>
      <c r="C34" s="740"/>
      <c r="D34" s="740"/>
      <c r="E34" s="740"/>
      <c r="F34" s="740"/>
      <c r="G34" s="741"/>
      <c r="H34" s="159">
        <f>SUM(H9:H33)</f>
        <v>89</v>
      </c>
      <c r="I34" s="18"/>
      <c r="J34" s="168">
        <f>SUM(J9:J33)</f>
        <v>68</v>
      </c>
      <c r="K34" s="742">
        <f>SUM(K9:L33)</f>
        <v>26</v>
      </c>
      <c r="L34" s="743"/>
      <c r="M34" s="743">
        <f>SUM(M9:N33)</f>
        <v>17</v>
      </c>
      <c r="N34" s="744"/>
      <c r="O34" s="745">
        <f>SUM(O9:P33)</f>
        <v>10</v>
      </c>
      <c r="P34" s="743"/>
      <c r="Q34" s="743">
        <f>SUM(Q9:R33)</f>
        <v>11</v>
      </c>
      <c r="R34" s="746"/>
      <c r="S34" s="758">
        <f>SUM(S9:T33)</f>
        <v>4</v>
      </c>
      <c r="T34" s="743"/>
      <c r="U34" s="743">
        <f>SUM(U9:V33)</f>
        <v>0</v>
      </c>
      <c r="V34" s="759"/>
      <c r="W34" s="739">
        <f>SUM(K34:V34)</f>
        <v>68</v>
      </c>
      <c r="X34" s="758"/>
      <c r="Y34" s="168">
        <f>SUM(Y9:Y33)</f>
        <v>64</v>
      </c>
      <c r="AA34" s="735" t="b">
        <f>W34&gt;=Y34</f>
        <v>1</v>
      </c>
      <c r="AB34" s="736"/>
    </row>
    <row r="35" spans="2:29" ht="17.25" customHeight="1">
      <c r="B35" s="737" t="s">
        <v>352</v>
      </c>
      <c r="C35" s="738"/>
      <c r="D35" s="214" t="s">
        <v>996</v>
      </c>
      <c r="E35" s="61" t="s">
        <v>353</v>
      </c>
      <c r="F35" s="772" t="s">
        <v>547</v>
      </c>
      <c r="G35" s="773"/>
      <c r="H35" s="180" t="s">
        <v>522</v>
      </c>
      <c r="I35" s="199" t="s">
        <v>524</v>
      </c>
      <c r="J35" s="150">
        <v>3</v>
      </c>
      <c r="K35" s="710">
        <v>3</v>
      </c>
      <c r="L35" s="712"/>
      <c r="M35" s="713"/>
      <c r="N35" s="841"/>
      <c r="O35" s="715"/>
      <c r="P35" s="712"/>
      <c r="Q35" s="713"/>
      <c r="R35" s="714"/>
      <c r="S35" s="841"/>
      <c r="T35" s="712"/>
      <c r="U35" s="713"/>
      <c r="V35" s="711"/>
      <c r="W35" s="761">
        <f t="shared" ref="W35:W37" si="4">SUM(K35:V35)</f>
        <v>3</v>
      </c>
      <c r="X35" s="762"/>
      <c r="Y35" s="749">
        <v>80</v>
      </c>
    </row>
    <row r="36" spans="2:29" ht="17.25" customHeight="1">
      <c r="B36" s="737"/>
      <c r="C36" s="738"/>
      <c r="D36" s="60" t="s">
        <v>70</v>
      </c>
      <c r="E36" s="61" t="s">
        <v>354</v>
      </c>
      <c r="F36" s="797" t="s">
        <v>596</v>
      </c>
      <c r="G36" s="798"/>
      <c r="H36" s="45" t="s">
        <v>522</v>
      </c>
      <c r="I36" s="192" t="s">
        <v>522</v>
      </c>
      <c r="J36" s="47">
        <v>7</v>
      </c>
      <c r="K36" s="710"/>
      <c r="L36" s="712"/>
      <c r="M36" s="713"/>
      <c r="N36" s="841"/>
      <c r="O36" s="756">
        <v>4</v>
      </c>
      <c r="P36" s="753"/>
      <c r="Q36" s="754">
        <v>3</v>
      </c>
      <c r="R36" s="757"/>
      <c r="S36" s="841"/>
      <c r="T36" s="712"/>
      <c r="U36" s="713"/>
      <c r="V36" s="711"/>
      <c r="W36" s="761">
        <f t="shared" si="4"/>
        <v>7</v>
      </c>
      <c r="X36" s="762"/>
      <c r="Y36" s="749"/>
    </row>
    <row r="37" spans="2:29" ht="17.25" customHeight="1" thickBot="1">
      <c r="B37" s="737"/>
      <c r="C37" s="738"/>
      <c r="D37" s="60" t="s">
        <v>70</v>
      </c>
      <c r="E37" s="182" t="s">
        <v>354</v>
      </c>
      <c r="F37" s="797" t="s">
        <v>991</v>
      </c>
      <c r="G37" s="798"/>
      <c r="H37" s="45" t="s">
        <v>524</v>
      </c>
      <c r="I37" s="192" t="s">
        <v>524</v>
      </c>
      <c r="J37" s="47">
        <v>8</v>
      </c>
      <c r="K37" s="710"/>
      <c r="L37" s="712"/>
      <c r="M37" s="713"/>
      <c r="N37" s="841"/>
      <c r="O37" s="756">
        <v>4</v>
      </c>
      <c r="P37" s="753"/>
      <c r="Q37" s="754">
        <v>4</v>
      </c>
      <c r="R37" s="757"/>
      <c r="S37" s="841"/>
      <c r="T37" s="712"/>
      <c r="U37" s="841"/>
      <c r="V37" s="712"/>
      <c r="W37" s="761">
        <f t="shared" si="4"/>
        <v>8</v>
      </c>
      <c r="X37" s="762"/>
      <c r="Y37" s="749"/>
    </row>
    <row r="38" spans="2:29" ht="20.25" customHeight="1">
      <c r="B38" s="799" t="s">
        <v>154</v>
      </c>
      <c r="C38" s="801" t="s">
        <v>593</v>
      </c>
      <c r="D38" s="178" t="s">
        <v>68</v>
      </c>
      <c r="E38" s="65" t="s">
        <v>353</v>
      </c>
      <c r="F38" s="778" t="s">
        <v>523</v>
      </c>
      <c r="G38" s="779"/>
      <c r="H38" s="40" t="s">
        <v>522</v>
      </c>
      <c r="I38" s="179" t="s">
        <v>524</v>
      </c>
      <c r="J38" s="42">
        <f>SUM(K38:V38)</f>
        <v>3</v>
      </c>
      <c r="K38" s="690"/>
      <c r="L38" s="692"/>
      <c r="M38" s="693">
        <v>3</v>
      </c>
      <c r="N38" s="775"/>
      <c r="O38" s="695"/>
      <c r="P38" s="692"/>
      <c r="Q38" s="693"/>
      <c r="R38" s="694"/>
      <c r="S38" s="775"/>
      <c r="T38" s="692"/>
      <c r="U38" s="693"/>
      <c r="V38" s="691"/>
      <c r="W38" s="835">
        <f>SUM(K38:V38)</f>
        <v>3</v>
      </c>
      <c r="X38" s="836"/>
      <c r="Y38" s="749"/>
    </row>
    <row r="39" spans="2:29" ht="20.25" customHeight="1">
      <c r="B39" s="800"/>
      <c r="C39" s="802"/>
      <c r="D39" s="63" t="s">
        <v>68</v>
      </c>
      <c r="E39" s="68" t="s">
        <v>354</v>
      </c>
      <c r="F39" s="776" t="s">
        <v>525</v>
      </c>
      <c r="G39" s="777"/>
      <c r="H39" s="180" t="s">
        <v>522</v>
      </c>
      <c r="I39" s="181" t="s">
        <v>524</v>
      </c>
      <c r="J39" s="47">
        <f>SUM(K39:V39)</f>
        <v>10</v>
      </c>
      <c r="K39" s="710"/>
      <c r="L39" s="712"/>
      <c r="M39" s="713">
        <v>4</v>
      </c>
      <c r="N39" s="714"/>
      <c r="O39" s="715">
        <v>6</v>
      </c>
      <c r="P39" s="712"/>
      <c r="Q39" s="713"/>
      <c r="R39" s="714"/>
      <c r="S39" s="715"/>
      <c r="T39" s="712"/>
      <c r="U39" s="713"/>
      <c r="V39" s="711"/>
      <c r="W39" s="763">
        <f>SUM(K39:V39)</f>
        <v>10</v>
      </c>
      <c r="X39" s="764"/>
      <c r="Y39" s="749"/>
    </row>
    <row r="40" spans="2:29" ht="16.5" customHeight="1">
      <c r="B40" s="800"/>
      <c r="C40" s="802"/>
      <c r="D40" s="62" t="s">
        <v>68</v>
      </c>
      <c r="E40" s="68" t="s">
        <v>354</v>
      </c>
      <c r="F40" s="776" t="s">
        <v>526</v>
      </c>
      <c r="G40" s="777"/>
      <c r="H40" s="180" t="s">
        <v>522</v>
      </c>
      <c r="I40" s="181" t="s">
        <v>524</v>
      </c>
      <c r="J40" s="150">
        <f t="shared" ref="J40:J43" si="5">SUM(K40:V40)</f>
        <v>10</v>
      </c>
      <c r="K40" s="710"/>
      <c r="L40" s="712"/>
      <c r="M40" s="713">
        <v>5</v>
      </c>
      <c r="N40" s="714"/>
      <c r="O40" s="715">
        <v>5</v>
      </c>
      <c r="P40" s="712"/>
      <c r="Q40" s="713"/>
      <c r="R40" s="714"/>
      <c r="S40" s="715"/>
      <c r="T40" s="712"/>
      <c r="U40" s="713"/>
      <c r="V40" s="711"/>
      <c r="W40" s="761">
        <f t="shared" ref="W40:W59" si="6">SUM(K40:V40)</f>
        <v>10</v>
      </c>
      <c r="X40" s="762"/>
      <c r="Y40" s="749"/>
    </row>
    <row r="41" spans="2:29" ht="16.5" customHeight="1">
      <c r="B41" s="800"/>
      <c r="C41" s="802"/>
      <c r="D41" s="62" t="s">
        <v>68</v>
      </c>
      <c r="E41" s="68" t="s">
        <v>354</v>
      </c>
      <c r="F41" s="776" t="s">
        <v>527</v>
      </c>
      <c r="G41" s="777"/>
      <c r="H41" s="180" t="s">
        <v>522</v>
      </c>
      <c r="I41" s="181" t="s">
        <v>524</v>
      </c>
      <c r="J41" s="172">
        <f t="shared" si="5"/>
        <v>8</v>
      </c>
      <c r="K41" s="710"/>
      <c r="L41" s="712"/>
      <c r="M41" s="713"/>
      <c r="N41" s="714"/>
      <c r="O41" s="715"/>
      <c r="P41" s="712"/>
      <c r="Q41" s="713">
        <v>8</v>
      </c>
      <c r="R41" s="714"/>
      <c r="S41" s="715"/>
      <c r="T41" s="712"/>
      <c r="U41" s="713"/>
      <c r="V41" s="711"/>
      <c r="W41" s="761">
        <f t="shared" si="6"/>
        <v>8</v>
      </c>
      <c r="X41" s="762"/>
      <c r="Y41" s="749"/>
    </row>
    <row r="42" spans="2:29">
      <c r="B42" s="800"/>
      <c r="C42" s="802"/>
      <c r="D42" s="62" t="s">
        <v>68</v>
      </c>
      <c r="E42" s="68" t="s">
        <v>354</v>
      </c>
      <c r="F42" s="776" t="s">
        <v>528</v>
      </c>
      <c r="G42" s="777"/>
      <c r="H42" s="180" t="s">
        <v>522</v>
      </c>
      <c r="I42" s="181" t="s">
        <v>524</v>
      </c>
      <c r="J42" s="47">
        <f t="shared" si="5"/>
        <v>13</v>
      </c>
      <c r="K42" s="710"/>
      <c r="L42" s="712"/>
      <c r="M42" s="713"/>
      <c r="N42" s="714"/>
      <c r="O42" s="715"/>
      <c r="P42" s="712"/>
      <c r="Q42" s="713">
        <v>3</v>
      </c>
      <c r="R42" s="714"/>
      <c r="S42" s="715">
        <v>10</v>
      </c>
      <c r="T42" s="712"/>
      <c r="U42" s="713"/>
      <c r="V42" s="711"/>
      <c r="W42" s="837">
        <f t="shared" si="6"/>
        <v>13</v>
      </c>
      <c r="X42" s="838"/>
      <c r="Y42" s="749"/>
    </row>
    <row r="43" spans="2:29">
      <c r="B43" s="800"/>
      <c r="C43" s="802"/>
      <c r="D43" s="60" t="s">
        <v>68</v>
      </c>
      <c r="E43" s="182" t="s">
        <v>354</v>
      </c>
      <c r="F43" s="776" t="s">
        <v>529</v>
      </c>
      <c r="G43" s="777"/>
      <c r="H43" s="180" t="s">
        <v>522</v>
      </c>
      <c r="I43" s="181" t="s">
        <v>524</v>
      </c>
      <c r="J43" s="172">
        <f t="shared" si="5"/>
        <v>18</v>
      </c>
      <c r="K43" s="780"/>
      <c r="L43" s="781"/>
      <c r="M43" s="782"/>
      <c r="N43" s="783"/>
      <c r="O43" s="784"/>
      <c r="P43" s="781"/>
      <c r="Q43" s="782"/>
      <c r="R43" s="783"/>
      <c r="S43" s="784">
        <v>7</v>
      </c>
      <c r="T43" s="781"/>
      <c r="U43" s="782">
        <v>11</v>
      </c>
      <c r="V43" s="787"/>
      <c r="W43" s="761">
        <f t="shared" si="6"/>
        <v>18</v>
      </c>
      <c r="X43" s="762"/>
      <c r="Y43" s="749"/>
    </row>
    <row r="44" spans="2:29">
      <c r="B44" s="800"/>
      <c r="C44" s="802"/>
      <c r="D44" s="62" t="s">
        <v>68</v>
      </c>
      <c r="E44" s="61" t="s">
        <v>354</v>
      </c>
      <c r="F44" s="797" t="s">
        <v>530</v>
      </c>
      <c r="G44" s="798"/>
      <c r="H44" s="154" t="s">
        <v>522</v>
      </c>
      <c r="I44" s="177" t="s">
        <v>522</v>
      </c>
      <c r="J44" s="217">
        <f t="shared" ref="J44" si="7">SUM(K44:V44)</f>
        <v>15</v>
      </c>
      <c r="K44" s="752"/>
      <c r="L44" s="753"/>
      <c r="M44" s="754"/>
      <c r="N44" s="757"/>
      <c r="O44" s="756"/>
      <c r="P44" s="753"/>
      <c r="Q44" s="754"/>
      <c r="R44" s="757"/>
      <c r="S44" s="756">
        <v>8</v>
      </c>
      <c r="T44" s="753"/>
      <c r="U44" s="754">
        <v>7</v>
      </c>
      <c r="V44" s="760"/>
      <c r="W44" s="837">
        <f t="shared" ref="W44:W45" si="8">SUM(K44:V44)</f>
        <v>15</v>
      </c>
      <c r="X44" s="838"/>
      <c r="Y44" s="749"/>
    </row>
    <row r="45" spans="2:29" ht="18" thickBot="1">
      <c r="B45" s="800"/>
      <c r="C45" s="802"/>
      <c r="D45" s="185" t="s">
        <v>70</v>
      </c>
      <c r="E45" s="186" t="s">
        <v>354</v>
      </c>
      <c r="F45" s="921" t="s">
        <v>597</v>
      </c>
      <c r="G45" s="922"/>
      <c r="H45" s="155" t="s">
        <v>524</v>
      </c>
      <c r="I45" s="176" t="s">
        <v>524</v>
      </c>
      <c r="J45" s="166">
        <v>11</v>
      </c>
      <c r="K45" s="923"/>
      <c r="L45" s="924"/>
      <c r="M45" s="917"/>
      <c r="N45" s="925"/>
      <c r="O45" s="926"/>
      <c r="P45" s="890"/>
      <c r="Q45" s="927"/>
      <c r="R45" s="924"/>
      <c r="S45" s="928"/>
      <c r="T45" s="924"/>
      <c r="U45" s="917">
        <v>11</v>
      </c>
      <c r="V45" s="918"/>
      <c r="W45" s="761">
        <f t="shared" si="8"/>
        <v>11</v>
      </c>
      <c r="X45" s="762"/>
      <c r="Y45" s="749"/>
    </row>
    <row r="46" spans="2:29" ht="17.399999999999999" customHeight="1">
      <c r="B46" s="800"/>
      <c r="C46" s="801" t="s">
        <v>598</v>
      </c>
      <c r="D46" s="64" t="s">
        <v>70</v>
      </c>
      <c r="E46" s="65" t="s">
        <v>353</v>
      </c>
      <c r="F46" s="919" t="s">
        <v>599</v>
      </c>
      <c r="G46" s="920"/>
      <c r="H46" s="40" t="s">
        <v>524</v>
      </c>
      <c r="I46" s="215" t="s">
        <v>524</v>
      </c>
      <c r="J46" s="42">
        <v>3</v>
      </c>
      <c r="K46" s="690"/>
      <c r="L46" s="692"/>
      <c r="M46" s="693">
        <v>3</v>
      </c>
      <c r="N46" s="694"/>
      <c r="O46" s="775"/>
      <c r="P46" s="692"/>
      <c r="Q46" s="693"/>
      <c r="R46" s="694"/>
      <c r="S46" s="775"/>
      <c r="T46" s="692"/>
      <c r="U46" s="720"/>
      <c r="V46" s="723"/>
      <c r="W46" s="835">
        <f t="shared" si="6"/>
        <v>3</v>
      </c>
      <c r="X46" s="836"/>
      <c r="Y46" s="749"/>
      <c r="AC46" s="157"/>
    </row>
    <row r="47" spans="2:29">
      <c r="B47" s="800"/>
      <c r="C47" s="802"/>
      <c r="D47" s="62" t="s">
        <v>590</v>
      </c>
      <c r="E47" s="61" t="s">
        <v>545</v>
      </c>
      <c r="F47" s="797" t="s">
        <v>600</v>
      </c>
      <c r="G47" s="798"/>
      <c r="H47" s="45" t="s">
        <v>522</v>
      </c>
      <c r="I47" s="181" t="s">
        <v>522</v>
      </c>
      <c r="J47" s="47">
        <v>4</v>
      </c>
      <c r="K47" s="710"/>
      <c r="L47" s="841"/>
      <c r="M47" s="713">
        <v>4</v>
      </c>
      <c r="N47" s="714"/>
      <c r="O47" s="841"/>
      <c r="P47" s="841"/>
      <c r="Q47" s="713"/>
      <c r="R47" s="714"/>
      <c r="S47" s="715"/>
      <c r="T47" s="712"/>
      <c r="U47" s="713"/>
      <c r="V47" s="711"/>
      <c r="W47" s="761">
        <f t="shared" si="6"/>
        <v>4</v>
      </c>
      <c r="X47" s="762"/>
      <c r="Y47" s="749"/>
      <c r="AC47" s="157"/>
    </row>
    <row r="48" spans="2:29">
      <c r="B48" s="800"/>
      <c r="C48" s="802"/>
      <c r="D48" s="62" t="s">
        <v>70</v>
      </c>
      <c r="E48" s="61" t="s">
        <v>545</v>
      </c>
      <c r="F48" s="797" t="s">
        <v>601</v>
      </c>
      <c r="G48" s="798"/>
      <c r="H48" s="45" t="s">
        <v>522</v>
      </c>
      <c r="I48" s="181" t="s">
        <v>522</v>
      </c>
      <c r="J48" s="47">
        <v>5</v>
      </c>
      <c r="K48" s="710"/>
      <c r="L48" s="841"/>
      <c r="M48" s="713">
        <v>5</v>
      </c>
      <c r="N48" s="714"/>
      <c r="O48" s="841"/>
      <c r="P48" s="841"/>
      <c r="Q48" s="713"/>
      <c r="R48" s="714"/>
      <c r="S48" s="715"/>
      <c r="T48" s="712"/>
      <c r="U48" s="713"/>
      <c r="V48" s="711"/>
      <c r="W48" s="761">
        <f t="shared" si="6"/>
        <v>5</v>
      </c>
      <c r="X48" s="762"/>
      <c r="Y48" s="749"/>
      <c r="AC48" s="157"/>
    </row>
    <row r="49" spans="2:29">
      <c r="B49" s="800"/>
      <c r="C49" s="802"/>
      <c r="D49" s="62" t="s">
        <v>70</v>
      </c>
      <c r="E49" s="61" t="s">
        <v>354</v>
      </c>
      <c r="F49" s="776" t="s">
        <v>602</v>
      </c>
      <c r="G49" s="777"/>
      <c r="H49" s="45" t="s">
        <v>522</v>
      </c>
      <c r="I49" s="181" t="s">
        <v>522</v>
      </c>
      <c r="J49" s="47">
        <v>22</v>
      </c>
      <c r="K49" s="710"/>
      <c r="L49" s="841"/>
      <c r="M49" s="713"/>
      <c r="N49" s="714"/>
      <c r="O49" s="841">
        <v>11</v>
      </c>
      <c r="P49" s="841"/>
      <c r="Q49" s="713">
        <v>11</v>
      </c>
      <c r="R49" s="714"/>
      <c r="S49" s="715"/>
      <c r="T49" s="712"/>
      <c r="U49" s="713"/>
      <c r="V49" s="711"/>
      <c r="W49" s="761">
        <f t="shared" si="6"/>
        <v>22</v>
      </c>
      <c r="X49" s="762"/>
      <c r="Y49" s="749"/>
      <c r="AC49" s="157"/>
    </row>
    <row r="50" spans="2:29">
      <c r="B50" s="800"/>
      <c r="C50" s="802"/>
      <c r="D50" s="62" t="s">
        <v>590</v>
      </c>
      <c r="E50" s="61" t="s">
        <v>560</v>
      </c>
      <c r="F50" s="776" t="s">
        <v>603</v>
      </c>
      <c r="G50" s="777"/>
      <c r="H50" s="45" t="s">
        <v>522</v>
      </c>
      <c r="I50" s="181" t="s">
        <v>522</v>
      </c>
      <c r="J50" s="47">
        <v>26</v>
      </c>
      <c r="K50" s="710"/>
      <c r="L50" s="841"/>
      <c r="M50" s="713"/>
      <c r="N50" s="714"/>
      <c r="O50" s="841"/>
      <c r="P50" s="841"/>
      <c r="Q50" s="713"/>
      <c r="R50" s="714"/>
      <c r="S50" s="715">
        <v>12</v>
      </c>
      <c r="T50" s="712"/>
      <c r="U50" s="713">
        <v>14</v>
      </c>
      <c r="V50" s="711"/>
      <c r="W50" s="761">
        <f t="shared" si="6"/>
        <v>26</v>
      </c>
      <c r="X50" s="762"/>
      <c r="Y50" s="749"/>
      <c r="AC50" s="157"/>
    </row>
    <row r="51" spans="2:29">
      <c r="B51" s="800"/>
      <c r="C51" s="802"/>
      <c r="D51" s="63" t="s">
        <v>590</v>
      </c>
      <c r="E51" s="156" t="s">
        <v>560</v>
      </c>
      <c r="F51" s="776" t="s">
        <v>604</v>
      </c>
      <c r="G51" s="777"/>
      <c r="H51" s="45" t="s">
        <v>522</v>
      </c>
      <c r="I51" s="181" t="s">
        <v>522</v>
      </c>
      <c r="J51" s="47">
        <v>12</v>
      </c>
      <c r="K51" s="710"/>
      <c r="L51" s="841"/>
      <c r="M51" s="713"/>
      <c r="N51" s="714"/>
      <c r="O51" s="841"/>
      <c r="P51" s="841"/>
      <c r="Q51" s="713"/>
      <c r="R51" s="714"/>
      <c r="S51" s="715">
        <v>8</v>
      </c>
      <c r="T51" s="712"/>
      <c r="U51" s="713">
        <v>4</v>
      </c>
      <c r="V51" s="711"/>
      <c r="W51" s="761">
        <f t="shared" si="6"/>
        <v>12</v>
      </c>
      <c r="X51" s="762"/>
      <c r="Y51" s="749"/>
      <c r="AC51" s="157"/>
    </row>
    <row r="52" spans="2:29" ht="18" thickBot="1">
      <c r="B52" s="800"/>
      <c r="C52" s="803"/>
      <c r="D52" s="67" t="s">
        <v>70</v>
      </c>
      <c r="E52" s="66" t="s">
        <v>354</v>
      </c>
      <c r="F52" s="929" t="s">
        <v>597</v>
      </c>
      <c r="G52" s="848"/>
      <c r="H52" s="56" t="s">
        <v>524</v>
      </c>
      <c r="I52" s="184" t="s">
        <v>524</v>
      </c>
      <c r="J52" s="171">
        <v>16</v>
      </c>
      <c r="K52" s="716"/>
      <c r="L52" s="704"/>
      <c r="M52" s="705"/>
      <c r="N52" s="717"/>
      <c r="O52" s="703"/>
      <c r="P52" s="704"/>
      <c r="Q52" s="705"/>
      <c r="R52" s="717"/>
      <c r="S52" s="703">
        <v>5</v>
      </c>
      <c r="T52" s="704"/>
      <c r="U52" s="859">
        <v>11</v>
      </c>
      <c r="V52" s="860"/>
      <c r="W52" s="842">
        <f t="shared" si="6"/>
        <v>16</v>
      </c>
      <c r="X52" s="843"/>
      <c r="Y52" s="749"/>
      <c r="AC52" s="157"/>
    </row>
    <row r="53" spans="2:29">
      <c r="B53" s="800"/>
      <c r="C53" s="802" t="s">
        <v>605</v>
      </c>
      <c r="D53" s="73" t="s">
        <v>70</v>
      </c>
      <c r="E53" s="68" t="s">
        <v>353</v>
      </c>
      <c r="F53" s="930" t="s">
        <v>599</v>
      </c>
      <c r="G53" s="931"/>
      <c r="H53" s="212" t="s">
        <v>524</v>
      </c>
      <c r="I53" s="216" t="s">
        <v>524</v>
      </c>
      <c r="J53" s="150">
        <v>3</v>
      </c>
      <c r="K53" s="908"/>
      <c r="L53" s="857"/>
      <c r="M53" s="856">
        <v>3</v>
      </c>
      <c r="N53" s="932"/>
      <c r="O53" s="933"/>
      <c r="P53" s="857"/>
      <c r="Q53" s="856"/>
      <c r="R53" s="932"/>
      <c r="S53" s="933"/>
      <c r="T53" s="857"/>
      <c r="U53" s="934"/>
      <c r="V53" s="935"/>
      <c r="W53" s="837">
        <f t="shared" si="6"/>
        <v>3</v>
      </c>
      <c r="X53" s="838"/>
      <c r="Y53" s="749"/>
      <c r="AC53" s="157"/>
    </row>
    <row r="54" spans="2:29">
      <c r="B54" s="800"/>
      <c r="C54" s="802"/>
      <c r="D54" s="62" t="s">
        <v>590</v>
      </c>
      <c r="E54" s="61" t="s">
        <v>545</v>
      </c>
      <c r="F54" s="797" t="s">
        <v>600</v>
      </c>
      <c r="G54" s="798"/>
      <c r="H54" s="45" t="s">
        <v>522</v>
      </c>
      <c r="I54" s="181" t="s">
        <v>522</v>
      </c>
      <c r="J54" s="47">
        <v>4</v>
      </c>
      <c r="K54" s="710"/>
      <c r="L54" s="841"/>
      <c r="M54" s="713">
        <v>4</v>
      </c>
      <c r="N54" s="714"/>
      <c r="O54" s="841"/>
      <c r="P54" s="841"/>
      <c r="Q54" s="713"/>
      <c r="R54" s="714"/>
      <c r="S54" s="715"/>
      <c r="T54" s="712"/>
      <c r="U54" s="713"/>
      <c r="V54" s="711"/>
      <c r="W54" s="761">
        <f t="shared" si="6"/>
        <v>4</v>
      </c>
      <c r="X54" s="762"/>
      <c r="Y54" s="749"/>
      <c r="AC54" s="157"/>
    </row>
    <row r="55" spans="2:29">
      <c r="B55" s="800"/>
      <c r="C55" s="802"/>
      <c r="D55" s="62" t="s">
        <v>70</v>
      </c>
      <c r="E55" s="61" t="s">
        <v>545</v>
      </c>
      <c r="F55" s="797" t="s">
        <v>601</v>
      </c>
      <c r="G55" s="798"/>
      <c r="H55" s="45" t="s">
        <v>522</v>
      </c>
      <c r="I55" s="181" t="s">
        <v>522</v>
      </c>
      <c r="J55" s="47">
        <v>5</v>
      </c>
      <c r="K55" s="710"/>
      <c r="L55" s="841"/>
      <c r="M55" s="713">
        <v>5</v>
      </c>
      <c r="N55" s="714"/>
      <c r="O55" s="841"/>
      <c r="P55" s="841"/>
      <c r="Q55" s="713"/>
      <c r="R55" s="714"/>
      <c r="S55" s="715"/>
      <c r="T55" s="712"/>
      <c r="U55" s="713"/>
      <c r="V55" s="711"/>
      <c r="W55" s="761">
        <f t="shared" si="6"/>
        <v>5</v>
      </c>
      <c r="X55" s="762"/>
      <c r="Y55" s="749"/>
      <c r="AC55" s="157"/>
    </row>
    <row r="56" spans="2:29">
      <c r="B56" s="800"/>
      <c r="C56" s="802"/>
      <c r="D56" s="73" t="s">
        <v>70</v>
      </c>
      <c r="E56" s="68" t="s">
        <v>354</v>
      </c>
      <c r="F56" s="776" t="s">
        <v>602</v>
      </c>
      <c r="G56" s="777"/>
      <c r="H56" s="45" t="s">
        <v>522</v>
      </c>
      <c r="I56" s="181" t="s">
        <v>522</v>
      </c>
      <c r="J56" s="149">
        <v>22</v>
      </c>
      <c r="K56" s="710"/>
      <c r="L56" s="841"/>
      <c r="M56" s="713"/>
      <c r="N56" s="714"/>
      <c r="O56" s="841">
        <v>11</v>
      </c>
      <c r="P56" s="841"/>
      <c r="Q56" s="713">
        <v>11</v>
      </c>
      <c r="R56" s="714"/>
      <c r="S56" s="715"/>
      <c r="T56" s="712"/>
      <c r="U56" s="713"/>
      <c r="V56" s="711"/>
      <c r="W56" s="761">
        <f t="shared" si="6"/>
        <v>22</v>
      </c>
      <c r="X56" s="762"/>
      <c r="Y56" s="749"/>
      <c r="AC56" s="157"/>
    </row>
    <row r="57" spans="2:29">
      <c r="B57" s="800"/>
      <c r="C57" s="802"/>
      <c r="D57" s="62" t="s">
        <v>590</v>
      </c>
      <c r="E57" s="68" t="s">
        <v>560</v>
      </c>
      <c r="F57" s="776" t="s">
        <v>606</v>
      </c>
      <c r="G57" s="777"/>
      <c r="H57" s="45" t="s">
        <v>522</v>
      </c>
      <c r="I57" s="181" t="s">
        <v>522</v>
      </c>
      <c r="J57" s="149">
        <v>26</v>
      </c>
      <c r="K57" s="710"/>
      <c r="L57" s="841"/>
      <c r="M57" s="713"/>
      <c r="N57" s="714"/>
      <c r="O57" s="841"/>
      <c r="P57" s="841"/>
      <c r="Q57" s="713"/>
      <c r="R57" s="714"/>
      <c r="S57" s="715">
        <v>12</v>
      </c>
      <c r="T57" s="712"/>
      <c r="U57" s="713">
        <v>14</v>
      </c>
      <c r="V57" s="711"/>
      <c r="W57" s="761">
        <f t="shared" si="6"/>
        <v>26</v>
      </c>
      <c r="X57" s="762"/>
      <c r="Y57" s="749"/>
      <c r="AC57" s="157"/>
    </row>
    <row r="58" spans="2:29">
      <c r="B58" s="800"/>
      <c r="C58" s="802"/>
      <c r="D58" s="63" t="s">
        <v>590</v>
      </c>
      <c r="E58" s="68" t="s">
        <v>560</v>
      </c>
      <c r="F58" s="776" t="s">
        <v>607</v>
      </c>
      <c r="G58" s="777"/>
      <c r="H58" s="45" t="s">
        <v>522</v>
      </c>
      <c r="I58" s="181" t="s">
        <v>522</v>
      </c>
      <c r="J58" s="47">
        <v>12</v>
      </c>
      <c r="K58" s="710"/>
      <c r="L58" s="841"/>
      <c r="M58" s="713"/>
      <c r="N58" s="714"/>
      <c r="O58" s="841"/>
      <c r="P58" s="841"/>
      <c r="Q58" s="713"/>
      <c r="R58" s="714"/>
      <c r="S58" s="715">
        <v>8</v>
      </c>
      <c r="T58" s="712"/>
      <c r="U58" s="713">
        <v>4</v>
      </c>
      <c r="V58" s="711"/>
      <c r="W58" s="761">
        <f t="shared" si="6"/>
        <v>12</v>
      </c>
      <c r="X58" s="762"/>
      <c r="Y58" s="749"/>
      <c r="AC58" s="157"/>
    </row>
    <row r="59" spans="2:29" ht="18" thickBot="1">
      <c r="B59" s="800"/>
      <c r="C59" s="802"/>
      <c r="D59" s="60" t="s">
        <v>70</v>
      </c>
      <c r="E59" s="61" t="s">
        <v>354</v>
      </c>
      <c r="F59" s="929" t="s">
        <v>597</v>
      </c>
      <c r="G59" s="848"/>
      <c r="H59" s="50" t="s">
        <v>524</v>
      </c>
      <c r="I59" s="181" t="s">
        <v>522</v>
      </c>
      <c r="J59" s="171">
        <v>16</v>
      </c>
      <c r="K59" s="716"/>
      <c r="L59" s="704"/>
      <c r="M59" s="705"/>
      <c r="N59" s="936"/>
      <c r="O59" s="703"/>
      <c r="P59" s="704"/>
      <c r="Q59" s="705"/>
      <c r="R59" s="717"/>
      <c r="S59" s="936">
        <v>5</v>
      </c>
      <c r="T59" s="704"/>
      <c r="U59" s="859">
        <v>11</v>
      </c>
      <c r="V59" s="860"/>
      <c r="W59" s="761">
        <f t="shared" si="6"/>
        <v>16</v>
      </c>
      <c r="X59" s="762"/>
      <c r="Y59" s="749"/>
      <c r="AC59" s="157"/>
    </row>
    <row r="60" spans="2:29" ht="24.75" customHeight="1" thickBot="1">
      <c r="B60" s="794" t="s">
        <v>358</v>
      </c>
      <c r="C60" s="792"/>
      <c r="D60" s="792"/>
      <c r="E60" s="792"/>
      <c r="F60" s="792"/>
      <c r="G60" s="793"/>
      <c r="H60" s="161">
        <f>SUM(H35:H37)</f>
        <v>0</v>
      </c>
      <c r="I60" s="162">
        <f>SUM(I35:I37)</f>
        <v>0</v>
      </c>
      <c r="J60" s="163">
        <v>106</v>
      </c>
      <c r="K60" s="794">
        <f>SUM(K35:L45)</f>
        <v>3</v>
      </c>
      <c r="L60" s="789"/>
      <c r="M60" s="790">
        <f>SUM(M35:N45)</f>
        <v>12</v>
      </c>
      <c r="N60" s="791"/>
      <c r="O60" s="788">
        <f>SUM(O35:P45)</f>
        <v>19</v>
      </c>
      <c r="P60" s="789"/>
      <c r="Q60" s="790">
        <f>SUM(Q35:R45)</f>
        <v>18</v>
      </c>
      <c r="R60" s="791"/>
      <c r="S60" s="792">
        <f>SUM(S35:T45)</f>
        <v>25</v>
      </c>
      <c r="T60" s="789"/>
      <c r="U60" s="790">
        <f>SUM(U35:V45)</f>
        <v>29</v>
      </c>
      <c r="V60" s="793"/>
      <c r="W60" s="794">
        <f>SUM(K60:V60)</f>
        <v>106</v>
      </c>
      <c r="X60" s="793"/>
      <c r="Y60" s="160">
        <f>SUM(Y35:Y43)</f>
        <v>80</v>
      </c>
      <c r="AC60" s="157"/>
    </row>
    <row r="61" spans="2:29" ht="17.25" customHeight="1" thickBot="1">
      <c r="B61" s="739" t="s">
        <v>541</v>
      </c>
      <c r="C61" s="740"/>
      <c r="D61" s="740"/>
      <c r="E61" s="740"/>
      <c r="F61" s="740"/>
      <c r="G61" s="741"/>
      <c r="H61" s="169">
        <f>SUM(H34,H60)</f>
        <v>89</v>
      </c>
      <c r="I61" s="167">
        <f>SUM(I34,I60)</f>
        <v>0</v>
      </c>
      <c r="J61" s="168">
        <f>SUM(J34,J60)</f>
        <v>174</v>
      </c>
      <c r="K61" s="739">
        <f>SUM(K34,K60)</f>
        <v>29</v>
      </c>
      <c r="L61" s="758"/>
      <c r="M61" s="744">
        <f>SUM(M34,M60)</f>
        <v>29</v>
      </c>
      <c r="N61" s="817"/>
      <c r="O61" s="818">
        <f>SUM(O34,O60)</f>
        <v>29</v>
      </c>
      <c r="P61" s="758"/>
      <c r="Q61" s="744">
        <f>SUM(Q34,Q60)</f>
        <v>29</v>
      </c>
      <c r="R61" s="817"/>
      <c r="S61" s="818">
        <f>SUM(S34,S60)</f>
        <v>29</v>
      </c>
      <c r="T61" s="758"/>
      <c r="U61" s="744">
        <f>SUM(U34,U60)</f>
        <v>29</v>
      </c>
      <c r="V61" s="741"/>
      <c r="W61" s="739">
        <f>SUM(K61:V61)</f>
        <v>174</v>
      </c>
      <c r="X61" s="741"/>
      <c r="Y61" s="11">
        <f>Y60+Y34</f>
        <v>144</v>
      </c>
      <c r="AA61" s="724" t="s">
        <v>156</v>
      </c>
      <c r="AB61" s="724"/>
    </row>
    <row r="62" spans="2:29" ht="18.75" customHeight="1" thickBot="1">
      <c r="B62" s="805" t="s">
        <v>359</v>
      </c>
      <c r="C62" s="806"/>
      <c r="D62" s="806"/>
      <c r="E62" s="807"/>
      <c r="F62" s="814" t="s">
        <v>356</v>
      </c>
      <c r="G62" s="815"/>
      <c r="H62" s="815"/>
      <c r="I62" s="815"/>
      <c r="J62" s="816"/>
      <c r="K62" s="690">
        <v>16</v>
      </c>
      <c r="L62" s="692"/>
      <c r="M62" s="693">
        <v>16</v>
      </c>
      <c r="N62" s="694"/>
      <c r="O62" s="695">
        <v>16</v>
      </c>
      <c r="P62" s="692"/>
      <c r="Q62" s="693">
        <v>16</v>
      </c>
      <c r="R62" s="694"/>
      <c r="S62" s="695">
        <v>16</v>
      </c>
      <c r="T62" s="692"/>
      <c r="U62" s="693">
        <v>16</v>
      </c>
      <c r="V62" s="691"/>
      <c r="W62" s="805">
        <f>SUM(K62:V64)</f>
        <v>288</v>
      </c>
      <c r="X62" s="807"/>
      <c r="Y62" s="821">
        <f>Y65*16</f>
        <v>288</v>
      </c>
      <c r="AA62" s="804"/>
      <c r="AB62" s="804"/>
    </row>
    <row r="63" spans="2:29" ht="17.25" customHeight="1" thickBot="1">
      <c r="B63" s="808"/>
      <c r="C63" s="809"/>
      <c r="D63" s="809"/>
      <c r="E63" s="810"/>
      <c r="F63" s="823" t="s">
        <v>63</v>
      </c>
      <c r="G63" s="824"/>
      <c r="H63" s="824"/>
      <c r="I63" s="824"/>
      <c r="J63" s="825"/>
      <c r="K63" s="710">
        <v>16</v>
      </c>
      <c r="L63" s="712"/>
      <c r="M63" s="713">
        <v>16</v>
      </c>
      <c r="N63" s="714"/>
      <c r="O63" s="715">
        <v>16</v>
      </c>
      <c r="P63" s="712"/>
      <c r="Q63" s="713">
        <v>16</v>
      </c>
      <c r="R63" s="714"/>
      <c r="S63" s="715">
        <v>16</v>
      </c>
      <c r="T63" s="712"/>
      <c r="U63" s="713">
        <v>16</v>
      </c>
      <c r="V63" s="711"/>
      <c r="W63" s="808"/>
      <c r="X63" s="810"/>
      <c r="Y63" s="749"/>
      <c r="AA63" s="735" t="b">
        <f>W61&gt;=Y61</f>
        <v>1</v>
      </c>
      <c r="AB63" s="736"/>
    </row>
    <row r="64" spans="2:29" ht="17.25" customHeight="1">
      <c r="B64" s="808"/>
      <c r="C64" s="809"/>
      <c r="D64" s="809"/>
      <c r="E64" s="810"/>
      <c r="F64" s="823" t="s">
        <v>11</v>
      </c>
      <c r="G64" s="824"/>
      <c r="H64" s="824"/>
      <c r="I64" s="824"/>
      <c r="J64" s="825"/>
      <c r="K64" s="710">
        <v>16</v>
      </c>
      <c r="L64" s="712"/>
      <c r="M64" s="713">
        <v>16</v>
      </c>
      <c r="N64" s="714"/>
      <c r="O64" s="715">
        <v>16</v>
      </c>
      <c r="P64" s="712"/>
      <c r="Q64" s="713">
        <v>16</v>
      </c>
      <c r="R64" s="714"/>
      <c r="S64" s="715">
        <v>16</v>
      </c>
      <c r="T64" s="712"/>
      <c r="U64" s="713">
        <v>16</v>
      </c>
      <c r="V64" s="711"/>
      <c r="W64" s="819"/>
      <c r="X64" s="820"/>
      <c r="Y64" s="822"/>
    </row>
    <row r="65" spans="2:28" ht="17.25" customHeight="1" thickBot="1">
      <c r="B65" s="811"/>
      <c r="C65" s="812"/>
      <c r="D65" s="812"/>
      <c r="E65" s="813"/>
      <c r="F65" s="831" t="s">
        <v>149</v>
      </c>
      <c r="G65" s="833"/>
      <c r="H65" s="833"/>
      <c r="I65" s="833"/>
      <c r="J65" s="832"/>
      <c r="K65" s="834">
        <v>3</v>
      </c>
      <c r="L65" s="827"/>
      <c r="M65" s="828">
        <v>3</v>
      </c>
      <c r="N65" s="829"/>
      <c r="O65" s="826">
        <v>3</v>
      </c>
      <c r="P65" s="827"/>
      <c r="Q65" s="828">
        <v>3</v>
      </c>
      <c r="R65" s="829"/>
      <c r="S65" s="826">
        <v>3</v>
      </c>
      <c r="T65" s="827"/>
      <c r="U65" s="828">
        <v>3</v>
      </c>
      <c r="V65" s="830"/>
      <c r="W65" s="831">
        <f>SUM(K65:V65)</f>
        <v>18</v>
      </c>
      <c r="X65" s="832"/>
      <c r="Y65" s="74">
        <v>18</v>
      </c>
      <c r="AA65" s="724" t="s">
        <v>157</v>
      </c>
      <c r="AB65" s="724"/>
    </row>
    <row r="66" spans="2:28" ht="17.25" customHeight="1" thickBot="1">
      <c r="B66" s="739"/>
      <c r="C66" s="740"/>
      <c r="D66" s="740"/>
      <c r="E66" s="740"/>
      <c r="F66" s="740"/>
      <c r="G66" s="740"/>
      <c r="H66" s="740"/>
      <c r="I66" s="740"/>
      <c r="J66" s="741"/>
      <c r="K66" s="739">
        <v>32</v>
      </c>
      <c r="L66" s="758"/>
      <c r="M66" s="744">
        <v>32</v>
      </c>
      <c r="N66" s="817"/>
      <c r="O66" s="818">
        <v>32</v>
      </c>
      <c r="P66" s="758"/>
      <c r="Q66" s="744">
        <v>32</v>
      </c>
      <c r="R66" s="817"/>
      <c r="S66" s="818">
        <v>32</v>
      </c>
      <c r="T66" s="758"/>
      <c r="U66" s="744">
        <v>32</v>
      </c>
      <c r="V66" s="741"/>
      <c r="W66" s="739">
        <f>SUM(K66:V66)</f>
        <v>192</v>
      </c>
      <c r="X66" s="741"/>
      <c r="Y66" s="35">
        <f>W66</f>
        <v>192</v>
      </c>
      <c r="AA66" s="735" t="b">
        <f>W65&gt;=Y65</f>
        <v>1</v>
      </c>
      <c r="AB66" s="736"/>
    </row>
    <row r="67" spans="2:28" ht="17.25" customHeight="1" thickBot="1">
      <c r="B67" s="739"/>
      <c r="C67" s="740"/>
      <c r="D67" s="740"/>
      <c r="E67" s="740"/>
      <c r="F67" s="740"/>
      <c r="G67" s="740"/>
      <c r="H67" s="740"/>
      <c r="I67" s="740"/>
      <c r="J67" s="741"/>
      <c r="K67" s="739">
        <f>SUM(K66:N66)</f>
        <v>64</v>
      </c>
      <c r="L67" s="740"/>
      <c r="M67" s="740"/>
      <c r="N67" s="817"/>
      <c r="O67" s="818">
        <f>SUM(O66:R66)</f>
        <v>64</v>
      </c>
      <c r="P67" s="740"/>
      <c r="Q67" s="740"/>
      <c r="R67" s="817"/>
      <c r="S67" s="818">
        <f>SUM(S66:V66)</f>
        <v>64</v>
      </c>
      <c r="T67" s="740"/>
      <c r="U67" s="740"/>
      <c r="V67" s="741"/>
      <c r="W67" s="739">
        <f>SUM(K67:V67)</f>
        <v>192</v>
      </c>
      <c r="X67" s="741"/>
      <c r="Y67" s="11"/>
      <c r="AA67" s="724" t="s">
        <v>153</v>
      </c>
      <c r="AB67" s="724"/>
    </row>
    <row r="68" spans="2:28" ht="17.25" customHeight="1" thickBot="1">
      <c r="AA68" s="735" t="b">
        <f>W66&gt;=Y66</f>
        <v>1</v>
      </c>
      <c r="AB68" s="736"/>
    </row>
    <row r="69" spans="2:28" ht="17.25" customHeight="1"/>
    <row r="70" spans="2:28" ht="17.25" customHeight="1"/>
    <row r="71" spans="2:28" ht="17.25" customHeight="1"/>
    <row r="73" spans="2:28" ht="24.9" customHeight="1"/>
    <row r="74" spans="2:28" ht="24.9" customHeight="1"/>
    <row r="75" spans="2:28" ht="32.25" customHeight="1"/>
    <row r="76" spans="2:28" ht="24.9" customHeight="1"/>
    <row r="78" spans="2:28" ht="16.5" customHeight="1"/>
    <row r="79" spans="2:28" ht="17.2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244.5" customHeight="1"/>
  </sheetData>
  <mergeCells count="522">
    <mergeCell ref="AA68:AB68"/>
    <mergeCell ref="F44:G44"/>
    <mergeCell ref="K44:L44"/>
    <mergeCell ref="M44:N44"/>
    <mergeCell ref="O44:P44"/>
    <mergeCell ref="Q44:R44"/>
    <mergeCell ref="S44:T44"/>
    <mergeCell ref="U44:V44"/>
    <mergeCell ref="W44:X44"/>
    <mergeCell ref="W66:X66"/>
    <mergeCell ref="AA66:AB66"/>
    <mergeCell ref="B67:J67"/>
    <mergeCell ref="K67:N67"/>
    <mergeCell ref="O67:R67"/>
    <mergeCell ref="S67:V67"/>
    <mergeCell ref="W67:X67"/>
    <mergeCell ref="AA67:AB67"/>
    <mergeCell ref="U65:V65"/>
    <mergeCell ref="W65:X65"/>
    <mergeCell ref="AA65:AB65"/>
    <mergeCell ref="B66:J66"/>
    <mergeCell ref="K66:L66"/>
    <mergeCell ref="M66:N66"/>
    <mergeCell ref="O66:P66"/>
    <mergeCell ref="Q66:R66"/>
    <mergeCell ref="S66:T66"/>
    <mergeCell ref="U66:V66"/>
    <mergeCell ref="F65:J65"/>
    <mergeCell ref="K65:L65"/>
    <mergeCell ref="M65:N65"/>
    <mergeCell ref="O65:P65"/>
    <mergeCell ref="Q65:R65"/>
    <mergeCell ref="S65:T65"/>
    <mergeCell ref="AA63:AB63"/>
    <mergeCell ref="F64:J64"/>
    <mergeCell ref="K64:L64"/>
    <mergeCell ref="M64:N64"/>
    <mergeCell ref="O64:P64"/>
    <mergeCell ref="Q64:R64"/>
    <mergeCell ref="S64:T64"/>
    <mergeCell ref="U64:V64"/>
    <mergeCell ref="Y62:Y64"/>
    <mergeCell ref="F63:J63"/>
    <mergeCell ref="K63:L63"/>
    <mergeCell ref="M63:N63"/>
    <mergeCell ref="O63:P63"/>
    <mergeCell ref="Q63:R63"/>
    <mergeCell ref="S63:T63"/>
    <mergeCell ref="U63:V63"/>
    <mergeCell ref="AA61:AB62"/>
    <mergeCell ref="B62:E65"/>
    <mergeCell ref="F62:J62"/>
    <mergeCell ref="K62:L62"/>
    <mergeCell ref="M62:N62"/>
    <mergeCell ref="O62:P62"/>
    <mergeCell ref="Q62:R62"/>
    <mergeCell ref="S62:T62"/>
    <mergeCell ref="U62:V62"/>
    <mergeCell ref="W62:X64"/>
    <mergeCell ref="U60:V60"/>
    <mergeCell ref="W60:X60"/>
    <mergeCell ref="B61:G61"/>
    <mergeCell ref="K61:L61"/>
    <mergeCell ref="M61:N61"/>
    <mergeCell ref="O61:P61"/>
    <mergeCell ref="Q61:R61"/>
    <mergeCell ref="S61:T61"/>
    <mergeCell ref="U61:V61"/>
    <mergeCell ref="W61:X61"/>
    <mergeCell ref="B60:G60"/>
    <mergeCell ref="K60:L60"/>
    <mergeCell ref="M60:N60"/>
    <mergeCell ref="O60:P60"/>
    <mergeCell ref="Q60:R60"/>
    <mergeCell ref="S60:T60"/>
    <mergeCell ref="U59:V59"/>
    <mergeCell ref="W59:X59"/>
    <mergeCell ref="F59:G59"/>
    <mergeCell ref="K59:L59"/>
    <mergeCell ref="M59:N59"/>
    <mergeCell ref="O59:P59"/>
    <mergeCell ref="Q59:R59"/>
    <mergeCell ref="S59:T59"/>
    <mergeCell ref="U57:V57"/>
    <mergeCell ref="W57:X57"/>
    <mergeCell ref="F58:G58"/>
    <mergeCell ref="K58:L58"/>
    <mergeCell ref="M58:N58"/>
    <mergeCell ref="O58:P58"/>
    <mergeCell ref="Q58:R58"/>
    <mergeCell ref="S58:T58"/>
    <mergeCell ref="U58:V58"/>
    <mergeCell ref="W58:X58"/>
    <mergeCell ref="S55:T55"/>
    <mergeCell ref="U55:V55"/>
    <mergeCell ref="W55:X55"/>
    <mergeCell ref="Q56:R56"/>
    <mergeCell ref="S56:T56"/>
    <mergeCell ref="U56:V56"/>
    <mergeCell ref="W56:X56"/>
    <mergeCell ref="F57:G57"/>
    <mergeCell ref="K57:L57"/>
    <mergeCell ref="M57:N57"/>
    <mergeCell ref="O57:P57"/>
    <mergeCell ref="Q57:R57"/>
    <mergeCell ref="S57:T57"/>
    <mergeCell ref="S53:T53"/>
    <mergeCell ref="U53:V53"/>
    <mergeCell ref="W53:X53"/>
    <mergeCell ref="F54:G54"/>
    <mergeCell ref="K54:L54"/>
    <mergeCell ref="M54:N54"/>
    <mergeCell ref="O54:P54"/>
    <mergeCell ref="Q54:R54"/>
    <mergeCell ref="S54:T54"/>
    <mergeCell ref="U54:V54"/>
    <mergeCell ref="W54:X54"/>
    <mergeCell ref="C53:C59"/>
    <mergeCell ref="F53:G53"/>
    <mergeCell ref="K53:L53"/>
    <mergeCell ref="M53:N53"/>
    <mergeCell ref="O53:P53"/>
    <mergeCell ref="Q53:R53"/>
    <mergeCell ref="F56:G56"/>
    <mergeCell ref="K56:L56"/>
    <mergeCell ref="M56:N56"/>
    <mergeCell ref="O56:P56"/>
    <mergeCell ref="F55:G55"/>
    <mergeCell ref="K55:L55"/>
    <mergeCell ref="M55:N55"/>
    <mergeCell ref="O55:P55"/>
    <mergeCell ref="Q55:R55"/>
    <mergeCell ref="U52:V52"/>
    <mergeCell ref="W52:X52"/>
    <mergeCell ref="F52:G52"/>
    <mergeCell ref="K52:L52"/>
    <mergeCell ref="M52:N52"/>
    <mergeCell ref="O52:P52"/>
    <mergeCell ref="Q52:R52"/>
    <mergeCell ref="S52:T52"/>
    <mergeCell ref="U50:V50"/>
    <mergeCell ref="W50:X50"/>
    <mergeCell ref="F51:G51"/>
    <mergeCell ref="K51:L51"/>
    <mergeCell ref="M51:N51"/>
    <mergeCell ref="O51:P51"/>
    <mergeCell ref="Q51:R51"/>
    <mergeCell ref="S51:T51"/>
    <mergeCell ref="U51:V51"/>
    <mergeCell ref="W51:X51"/>
    <mergeCell ref="F50:G50"/>
    <mergeCell ref="K50:L50"/>
    <mergeCell ref="M50:N50"/>
    <mergeCell ref="O50:P50"/>
    <mergeCell ref="Q50:R50"/>
    <mergeCell ref="S50:T50"/>
    <mergeCell ref="W47:X47"/>
    <mergeCell ref="U48:V48"/>
    <mergeCell ref="W48:X48"/>
    <mergeCell ref="F49:G49"/>
    <mergeCell ref="K49:L49"/>
    <mergeCell ref="M49:N49"/>
    <mergeCell ref="O49:P49"/>
    <mergeCell ref="Q49:R49"/>
    <mergeCell ref="S49:T49"/>
    <mergeCell ref="U49:V49"/>
    <mergeCell ref="W49:X49"/>
    <mergeCell ref="F48:G48"/>
    <mergeCell ref="K48:L48"/>
    <mergeCell ref="M48:N48"/>
    <mergeCell ref="O48:P48"/>
    <mergeCell ref="Q48:R48"/>
    <mergeCell ref="S48:T48"/>
    <mergeCell ref="U45:V45"/>
    <mergeCell ref="W45:X45"/>
    <mergeCell ref="C46:C52"/>
    <mergeCell ref="F46:G46"/>
    <mergeCell ref="K46:L46"/>
    <mergeCell ref="M46:N46"/>
    <mergeCell ref="O46:P46"/>
    <mergeCell ref="Q46:R46"/>
    <mergeCell ref="S46:T46"/>
    <mergeCell ref="U46:V46"/>
    <mergeCell ref="F45:G45"/>
    <mergeCell ref="K45:L45"/>
    <mergeCell ref="M45:N45"/>
    <mergeCell ref="O45:P45"/>
    <mergeCell ref="Q45:R45"/>
    <mergeCell ref="S45:T45"/>
    <mergeCell ref="W46:X46"/>
    <mergeCell ref="F47:G47"/>
    <mergeCell ref="K47:L47"/>
    <mergeCell ref="M47:N47"/>
    <mergeCell ref="O47:P47"/>
    <mergeCell ref="Q47:R47"/>
    <mergeCell ref="S47:T47"/>
    <mergeCell ref="U47:V47"/>
    <mergeCell ref="O40:P40"/>
    <mergeCell ref="Q40:R40"/>
    <mergeCell ref="S40:T40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B38:B59"/>
    <mergeCell ref="C38:C45"/>
    <mergeCell ref="F38:G38"/>
    <mergeCell ref="K38:L38"/>
    <mergeCell ref="M38:N38"/>
    <mergeCell ref="O38:P38"/>
    <mergeCell ref="Q38:R38"/>
    <mergeCell ref="S38:T38"/>
    <mergeCell ref="U36:V36"/>
    <mergeCell ref="U38:V38"/>
    <mergeCell ref="F39:G39"/>
    <mergeCell ref="K39:L39"/>
    <mergeCell ref="M39:N39"/>
    <mergeCell ref="O39:P39"/>
    <mergeCell ref="Q39:R39"/>
    <mergeCell ref="S39:T39"/>
    <mergeCell ref="U39:V39"/>
    <mergeCell ref="U40:V40"/>
    <mergeCell ref="F41:G41"/>
    <mergeCell ref="K41:L41"/>
    <mergeCell ref="M41:N41"/>
    <mergeCell ref="O41:P41"/>
    <mergeCell ref="Q41:R41"/>
    <mergeCell ref="S41:T41"/>
    <mergeCell ref="Y35:Y59"/>
    <mergeCell ref="F36:G36"/>
    <mergeCell ref="K36:L36"/>
    <mergeCell ref="M36:N36"/>
    <mergeCell ref="O36:P36"/>
    <mergeCell ref="Q36:R36"/>
    <mergeCell ref="S36:T36"/>
    <mergeCell ref="W36:X36"/>
    <mergeCell ref="F37:G37"/>
    <mergeCell ref="K37:L37"/>
    <mergeCell ref="M37:N37"/>
    <mergeCell ref="O37:P37"/>
    <mergeCell ref="Q37:R37"/>
    <mergeCell ref="S37:T37"/>
    <mergeCell ref="U37:V37"/>
    <mergeCell ref="W37:X37"/>
    <mergeCell ref="W38:X38"/>
    <mergeCell ref="W39:X39"/>
    <mergeCell ref="W40:X40"/>
    <mergeCell ref="U41:V41"/>
    <mergeCell ref="W41:X41"/>
    <mergeCell ref="F40:G40"/>
    <mergeCell ref="K40:L40"/>
    <mergeCell ref="M40:N40"/>
    <mergeCell ref="B35:C37"/>
    <mergeCell ref="F35:G35"/>
    <mergeCell ref="K35:L35"/>
    <mergeCell ref="M35:N35"/>
    <mergeCell ref="O35:P35"/>
    <mergeCell ref="Q35:R35"/>
    <mergeCell ref="S35:T35"/>
    <mergeCell ref="U35:V35"/>
    <mergeCell ref="W35:X35"/>
    <mergeCell ref="B34:G34"/>
    <mergeCell ref="K34:L34"/>
    <mergeCell ref="M34:N34"/>
    <mergeCell ref="O34:P34"/>
    <mergeCell ref="Q34:R34"/>
    <mergeCell ref="S34:T34"/>
    <mergeCell ref="U34:V34"/>
    <mergeCell ref="W34:X34"/>
    <mergeCell ref="AA34:AB34"/>
    <mergeCell ref="D29:D30"/>
    <mergeCell ref="W31:X33"/>
    <mergeCell ref="Y31:Y33"/>
    <mergeCell ref="F32:G32"/>
    <mergeCell ref="K32:L32"/>
    <mergeCell ref="M32:N32"/>
    <mergeCell ref="O32:P32"/>
    <mergeCell ref="Q32:R32"/>
    <mergeCell ref="S32:T32"/>
    <mergeCell ref="U32:V32"/>
    <mergeCell ref="F33:G33"/>
    <mergeCell ref="M33:N33"/>
    <mergeCell ref="O33:P33"/>
    <mergeCell ref="Q33:R33"/>
    <mergeCell ref="S33:T33"/>
    <mergeCell ref="U33:V33"/>
    <mergeCell ref="D31:D33"/>
    <mergeCell ref="F31:G31"/>
    <mergeCell ref="K31:L31"/>
    <mergeCell ref="M31:N31"/>
    <mergeCell ref="O31:P31"/>
    <mergeCell ref="Q31:R31"/>
    <mergeCell ref="S31:T31"/>
    <mergeCell ref="U31:V31"/>
    <mergeCell ref="K33:L33"/>
    <mergeCell ref="M27:N27"/>
    <mergeCell ref="O27:P27"/>
    <mergeCell ref="Q27:R27"/>
    <mergeCell ref="S27:T27"/>
    <mergeCell ref="S29:T29"/>
    <mergeCell ref="U29:V29"/>
    <mergeCell ref="W29:X30"/>
    <mergeCell ref="Y29:Y30"/>
    <mergeCell ref="U30:V30"/>
    <mergeCell ref="Y24:Y28"/>
    <mergeCell ref="U27:V27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23:V23"/>
    <mergeCell ref="U25:V25"/>
    <mergeCell ref="F26:G26"/>
    <mergeCell ref="K26:L26"/>
    <mergeCell ref="M26:N26"/>
    <mergeCell ref="O26:P26"/>
    <mergeCell ref="Q26:R26"/>
    <mergeCell ref="S26:T26"/>
    <mergeCell ref="U26:V26"/>
    <mergeCell ref="S24:T24"/>
    <mergeCell ref="U24:V24"/>
    <mergeCell ref="F25:G25"/>
    <mergeCell ref="K25:L25"/>
    <mergeCell ref="M25:N25"/>
    <mergeCell ref="O25:P25"/>
    <mergeCell ref="Q25:R25"/>
    <mergeCell ref="S25:T25"/>
    <mergeCell ref="O23:P23"/>
    <mergeCell ref="Q23:R23"/>
    <mergeCell ref="S23:T23"/>
    <mergeCell ref="F28:G28"/>
    <mergeCell ref="K28:L28"/>
    <mergeCell ref="D24:D28"/>
    <mergeCell ref="F24:G24"/>
    <mergeCell ref="K24:L24"/>
    <mergeCell ref="M24:N24"/>
    <mergeCell ref="O24:P24"/>
    <mergeCell ref="Q24:R24"/>
    <mergeCell ref="X21:X23"/>
    <mergeCell ref="F22:G22"/>
    <mergeCell ref="K22:L22"/>
    <mergeCell ref="M22:N22"/>
    <mergeCell ref="O22:P22"/>
    <mergeCell ref="Q22:R22"/>
    <mergeCell ref="S22:T22"/>
    <mergeCell ref="U22:V22"/>
    <mergeCell ref="F23:G23"/>
    <mergeCell ref="K23:L23"/>
    <mergeCell ref="X24:X28"/>
    <mergeCell ref="M28:N28"/>
    <mergeCell ref="O28:P28"/>
    <mergeCell ref="Q28:R28"/>
    <mergeCell ref="S28:T28"/>
    <mergeCell ref="U28:V28"/>
    <mergeCell ref="F27:G27"/>
    <mergeCell ref="K27:L27"/>
    <mergeCell ref="D21:D23"/>
    <mergeCell ref="F21:G21"/>
    <mergeCell ref="K21:L21"/>
    <mergeCell ref="M21:N21"/>
    <mergeCell ref="O21:P21"/>
    <mergeCell ref="Q21:R21"/>
    <mergeCell ref="S21:T21"/>
    <mergeCell ref="U21:V21"/>
    <mergeCell ref="M23:N23"/>
    <mergeCell ref="AA18:AB18"/>
    <mergeCell ref="F19:G19"/>
    <mergeCell ref="K19:L19"/>
    <mergeCell ref="M19:N19"/>
    <mergeCell ref="O19:P19"/>
    <mergeCell ref="Q19:R19"/>
    <mergeCell ref="S19:T19"/>
    <mergeCell ref="U19:V19"/>
    <mergeCell ref="X19:X20"/>
    <mergeCell ref="Y19:Y23"/>
    <mergeCell ref="U20:V20"/>
    <mergeCell ref="F20:G20"/>
    <mergeCell ref="K20:L20"/>
    <mergeCell ref="M20:N20"/>
    <mergeCell ref="O20:P20"/>
    <mergeCell ref="Q20:R20"/>
    <mergeCell ref="S20:T20"/>
    <mergeCell ref="X17:X18"/>
    <mergeCell ref="Y17:Y18"/>
    <mergeCell ref="F18:G18"/>
    <mergeCell ref="K18:L18"/>
    <mergeCell ref="M18:N18"/>
    <mergeCell ref="D17:D20"/>
    <mergeCell ref="F17:G17"/>
    <mergeCell ref="K17:L17"/>
    <mergeCell ref="M17:N17"/>
    <mergeCell ref="O17:P17"/>
    <mergeCell ref="Q17:R17"/>
    <mergeCell ref="S17:T17"/>
    <mergeCell ref="D14:D16"/>
    <mergeCell ref="U17:V17"/>
    <mergeCell ref="O18:P18"/>
    <mergeCell ref="Q18:R18"/>
    <mergeCell ref="S18:T18"/>
    <mergeCell ref="U18:V18"/>
    <mergeCell ref="K16:L16"/>
    <mergeCell ref="M16:N16"/>
    <mergeCell ref="O16:P16"/>
    <mergeCell ref="Q16:R16"/>
    <mergeCell ref="S16:T16"/>
    <mergeCell ref="U16:V16"/>
    <mergeCell ref="X12:X13"/>
    <mergeCell ref="F13:G13"/>
    <mergeCell ref="K13:L13"/>
    <mergeCell ref="M13:N13"/>
    <mergeCell ref="O13:P13"/>
    <mergeCell ref="Q13:R13"/>
    <mergeCell ref="S13:T13"/>
    <mergeCell ref="U13:V13"/>
    <mergeCell ref="S14:T14"/>
    <mergeCell ref="U14:V14"/>
    <mergeCell ref="X14:X16"/>
    <mergeCell ref="F15:G15"/>
    <mergeCell ref="K15:L15"/>
    <mergeCell ref="M15:N15"/>
    <mergeCell ref="O15:P15"/>
    <mergeCell ref="Q15:R15"/>
    <mergeCell ref="S15:T15"/>
    <mergeCell ref="U15:V15"/>
    <mergeCell ref="F14:G14"/>
    <mergeCell ref="K14:L14"/>
    <mergeCell ref="M14:N14"/>
    <mergeCell ref="O14:P14"/>
    <mergeCell ref="Q14:R14"/>
    <mergeCell ref="F16:G16"/>
    <mergeCell ref="K10:L10"/>
    <mergeCell ref="M10:N10"/>
    <mergeCell ref="O10:P10"/>
    <mergeCell ref="Q10:R10"/>
    <mergeCell ref="S10:T10"/>
    <mergeCell ref="U10:V10"/>
    <mergeCell ref="F11:G11"/>
    <mergeCell ref="D12:D13"/>
    <mergeCell ref="F12:G12"/>
    <mergeCell ref="K12:L12"/>
    <mergeCell ref="M12:N12"/>
    <mergeCell ref="O12:P12"/>
    <mergeCell ref="Q12:R12"/>
    <mergeCell ref="K11:L11"/>
    <mergeCell ref="M11:N11"/>
    <mergeCell ref="O11:P11"/>
    <mergeCell ref="Q11:R11"/>
    <mergeCell ref="S12:T12"/>
    <mergeCell ref="U12:V12"/>
    <mergeCell ref="AA8:AD8"/>
    <mergeCell ref="B9:C33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S11:T11"/>
    <mergeCell ref="U11:V11"/>
    <mergeCell ref="X9:X11"/>
    <mergeCell ref="Y9:Y16"/>
    <mergeCell ref="F10:G10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4:AB34 AA63:AB63 AA66:AB66 AA68:AB68">
    <cfRule type="containsText" dxfId="0" priority="1" operator="containsText" text="FALSE">
      <formula>NOT(ISERROR(SEARCH("FALSE",AA34)))</formula>
    </cfRule>
  </conditionalFormatting>
  <printOptions horizontalCentered="1" verticalCentered="1"/>
  <pageMargins left="0.25" right="0.25" top="0.75" bottom="0.75" header="0.3" footer="0.3"/>
  <pageSetup paperSize="12" scale="52" orientation="portrait" cellComments="asDisplayed" r:id="rId1"/>
  <ignoredErrors>
    <ignoredError sqref="W35:X37 W45 W46:X52 W53:X59" formulaRange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81906F17-CD78-4595-A979-198EC2DF1AA3}">
          <x14:formula1>
            <xm:f>삭제금지!$H$2:$H$18</xm:f>
          </x14:formula1>
          <xm:sqref>B5</xm:sqref>
        </x14:dataValidation>
        <x14:dataValidation type="list" allowBlank="1" showInputMessage="1" showErrorMessage="1" xr:uid="{97FB7DBF-CECA-4ABB-9E66-BEBAB0A3E32A}">
          <x14:formula1>
            <xm:f>삭제금지!$L$2:$L$4</xm:f>
          </x14:formula1>
          <xm:sqref>T5:V5</xm:sqref>
        </x14:dataValidation>
        <x14:dataValidation type="list" allowBlank="1" showInputMessage="1" showErrorMessage="1" xr:uid="{305B4567-5ED8-4CBD-86BF-3ADEFC93EDF4}">
          <x14:formula1>
            <xm:f>삭제금지!$K$2:$K$59</xm:f>
          </x14:formula1>
          <xm:sqref>K5:O5</xm:sqref>
        </x14:dataValidation>
        <x14:dataValidation type="list" allowBlank="1" showInputMessage="1" showErrorMessage="1" xr:uid="{B5F7C2EA-9B77-4052-B861-34C07F15C4B8}">
          <x14:formula1>
            <xm:f>삭제금지!$I$2:$I$18</xm:f>
          </x14:formula1>
          <xm:sqref>F5:G5</xm:sqref>
        </x14:dataValidation>
        <x14:dataValidation type="list" allowBlank="1" showInputMessage="1" showErrorMessage="1" xr:uid="{38E6A699-311C-4387-AA79-94D5F4205205}">
          <x14:formula1>
            <xm:f>삭제금지!$J$2:$J$59</xm:f>
          </x14:formula1>
          <xm:sqref>H5:J5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79"/>
  <sheetViews>
    <sheetView showGridLines="0" zoomScale="85" zoomScaleNormal="85" zoomScaleSheetLayoutView="90" workbookViewId="0">
      <selection activeCell="W44" sqref="W44"/>
    </sheetView>
  </sheetViews>
  <sheetFormatPr defaultRowHeight="17.399999999999999"/>
  <cols>
    <col min="1" max="1" width="3" customWidth="1"/>
    <col min="2" max="2" width="24.59765625" customWidth="1"/>
    <col min="3" max="3" width="5.59765625" customWidth="1"/>
    <col min="4" max="4" width="40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8.8984375" customWidth="1"/>
    <col min="21" max="21" width="9.59765625" customWidth="1"/>
  </cols>
  <sheetData>
    <row r="2" spans="2:33" ht="39.75" customHeight="1" thickBot="1">
      <c r="B2" s="988" t="s">
        <v>151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</row>
    <row r="3" spans="2:33" ht="27" customHeight="1" thickBot="1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989" t="s">
        <v>129</v>
      </c>
      <c r="O3" s="989"/>
      <c r="P3" s="989"/>
      <c r="Q3" s="989" t="s">
        <v>127</v>
      </c>
      <c r="R3" s="989"/>
      <c r="S3" s="989"/>
      <c r="T3" s="989" t="s">
        <v>130</v>
      </c>
      <c r="U3" s="989"/>
    </row>
    <row r="4" spans="2:33" ht="27" customHeight="1" thickBot="1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990" t="s">
        <v>507</v>
      </c>
      <c r="O4" s="990"/>
      <c r="P4" s="990"/>
      <c r="Q4" s="991" t="s">
        <v>512</v>
      </c>
      <c r="R4" s="991"/>
      <c r="S4" s="991"/>
      <c r="T4" s="991">
        <v>2027</v>
      </c>
      <c r="U4" s="991"/>
    </row>
    <row r="5" spans="2:33" ht="24" customHeight="1" thickBot="1">
      <c r="B5" s="981"/>
      <c r="C5" s="981"/>
    </row>
    <row r="6" spans="2:33" ht="20.25" customHeight="1">
      <c r="B6" s="982" t="s">
        <v>13</v>
      </c>
      <c r="C6" s="985" t="s">
        <v>140</v>
      </c>
      <c r="D6" s="953" t="s">
        <v>14</v>
      </c>
      <c r="E6" s="953" t="s">
        <v>15</v>
      </c>
      <c r="F6" s="953" t="s">
        <v>141</v>
      </c>
      <c r="G6" s="953" t="s">
        <v>142</v>
      </c>
      <c r="H6" s="956" t="s">
        <v>58</v>
      </c>
      <c r="I6" s="956"/>
      <c r="J6" s="956"/>
      <c r="K6" s="956"/>
      <c r="L6" s="956" t="s">
        <v>59</v>
      </c>
      <c r="M6" s="956"/>
      <c r="N6" s="956"/>
      <c r="O6" s="956"/>
      <c r="P6" s="956" t="s">
        <v>60</v>
      </c>
      <c r="Q6" s="956"/>
      <c r="R6" s="956"/>
      <c r="S6" s="956"/>
      <c r="T6" s="964" t="s">
        <v>139</v>
      </c>
      <c r="U6" s="957" t="s">
        <v>126</v>
      </c>
      <c r="W6" s="960" t="s">
        <v>131</v>
      </c>
      <c r="X6" s="961"/>
      <c r="Y6" s="961"/>
      <c r="Z6" s="961"/>
      <c r="AA6" s="961"/>
      <c r="AB6" s="961"/>
      <c r="AC6" s="961"/>
      <c r="AD6" s="961"/>
      <c r="AE6" s="961"/>
      <c r="AF6" s="962"/>
      <c r="AG6" s="13"/>
    </row>
    <row r="7" spans="2:33" ht="16.5" customHeight="1">
      <c r="B7" s="983"/>
      <c r="C7" s="986"/>
      <c r="D7" s="954"/>
      <c r="E7" s="954"/>
      <c r="F7" s="954"/>
      <c r="G7" s="954"/>
      <c r="H7" s="963" t="s">
        <v>124</v>
      </c>
      <c r="I7" s="963"/>
      <c r="J7" s="963" t="s">
        <v>62</v>
      </c>
      <c r="K7" s="963"/>
      <c r="L7" s="963" t="s">
        <v>124</v>
      </c>
      <c r="M7" s="963"/>
      <c r="N7" s="963" t="s">
        <v>62</v>
      </c>
      <c r="O7" s="963"/>
      <c r="P7" s="963" t="s">
        <v>124</v>
      </c>
      <c r="Q7" s="963"/>
      <c r="R7" s="963" t="s">
        <v>62</v>
      </c>
      <c r="S7" s="963"/>
      <c r="T7" s="965"/>
      <c r="U7" s="958"/>
      <c r="W7" s="950" t="s">
        <v>132</v>
      </c>
      <c r="X7" s="951"/>
      <c r="Y7" s="951"/>
      <c r="Z7" s="951"/>
      <c r="AA7" s="951"/>
      <c r="AB7" s="951"/>
      <c r="AC7" s="951"/>
      <c r="AD7" s="951"/>
      <c r="AE7" s="951"/>
      <c r="AF7" s="952"/>
      <c r="AG7" s="13"/>
    </row>
    <row r="8" spans="2:33" ht="17.25" customHeight="1" thickBot="1">
      <c r="B8" s="984"/>
      <c r="C8" s="987"/>
      <c r="D8" s="955"/>
      <c r="E8" s="955"/>
      <c r="F8" s="955"/>
      <c r="G8" s="955"/>
      <c r="H8" s="26" t="s">
        <v>138</v>
      </c>
      <c r="I8" s="26" t="s">
        <v>125</v>
      </c>
      <c r="J8" s="26" t="s">
        <v>138</v>
      </c>
      <c r="K8" s="26" t="s">
        <v>125</v>
      </c>
      <c r="L8" s="26" t="s">
        <v>138</v>
      </c>
      <c r="M8" s="26" t="s">
        <v>125</v>
      </c>
      <c r="N8" s="26" t="s">
        <v>138</v>
      </c>
      <c r="O8" s="26" t="s">
        <v>125</v>
      </c>
      <c r="P8" s="26" t="s">
        <v>138</v>
      </c>
      <c r="Q8" s="26" t="s">
        <v>125</v>
      </c>
      <c r="R8" s="26" t="s">
        <v>138</v>
      </c>
      <c r="S8" s="26" t="s">
        <v>125</v>
      </c>
      <c r="T8" s="966"/>
      <c r="U8" s="959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994" t="s">
        <v>619</v>
      </c>
      <c r="C9" s="997">
        <f>T13</f>
        <v>7</v>
      </c>
      <c r="D9" s="228" t="s">
        <v>611</v>
      </c>
      <c r="E9" s="229" t="s">
        <v>612</v>
      </c>
      <c r="F9" s="230">
        <v>12</v>
      </c>
      <c r="G9" s="228">
        <v>3</v>
      </c>
      <c r="H9" s="231"/>
      <c r="I9" s="231">
        <f>H9*16</f>
        <v>0</v>
      </c>
      <c r="J9" s="231"/>
      <c r="K9" s="231">
        <f>J9*16</f>
        <v>0</v>
      </c>
      <c r="L9" s="231">
        <v>1</v>
      </c>
      <c r="M9" s="231">
        <f>L9*16</f>
        <v>16</v>
      </c>
      <c r="N9" s="231"/>
      <c r="O9" s="231">
        <f>N9*16</f>
        <v>0</v>
      </c>
      <c r="P9" s="231"/>
      <c r="Q9" s="231">
        <f>P9*16</f>
        <v>0</v>
      </c>
      <c r="R9" s="231"/>
      <c r="S9" s="231">
        <f>R9*16</f>
        <v>0</v>
      </c>
      <c r="T9" s="232">
        <f>SUM(H9,J9,L9,N9,P9,R9)</f>
        <v>1</v>
      </c>
      <c r="U9" s="233">
        <f>SUM(I9,K9,M9,O9,Q9,S9)</f>
        <v>16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995"/>
      <c r="C10" s="998"/>
      <c r="D10" s="234" t="s">
        <v>613</v>
      </c>
      <c r="E10" s="235" t="s">
        <v>614</v>
      </c>
      <c r="F10" s="236">
        <v>60</v>
      </c>
      <c r="G10" s="234">
        <v>2</v>
      </c>
      <c r="H10" s="237"/>
      <c r="I10" s="237">
        <f t="shared" ref="I10" si="0">H10*16</f>
        <v>0</v>
      </c>
      <c r="J10" s="237"/>
      <c r="K10" s="237">
        <f t="shared" ref="K10" si="1">J10*16</f>
        <v>0</v>
      </c>
      <c r="L10" s="237">
        <v>2</v>
      </c>
      <c r="M10" s="237">
        <f t="shared" ref="M10:M12" si="2">L10*16</f>
        <v>32</v>
      </c>
      <c r="N10" s="237"/>
      <c r="O10" s="237">
        <f t="shared" ref="O10:O12" si="3">N10*16</f>
        <v>0</v>
      </c>
      <c r="P10" s="237"/>
      <c r="Q10" s="237">
        <f t="shared" ref="Q10" si="4">P10*16</f>
        <v>0</v>
      </c>
      <c r="R10" s="237"/>
      <c r="S10" s="237">
        <f t="shared" ref="S10" si="5">R10*16</f>
        <v>0</v>
      </c>
      <c r="T10" s="355">
        <f t="shared" ref="T10:T12" si="6">SUM(H10,J10,L10,N10,P10,R10)</f>
        <v>2</v>
      </c>
      <c r="U10" s="356">
        <f t="shared" ref="U10:U12" si="7">SUM(I10,K10,M10,O10,Q10,S10)</f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995"/>
      <c r="C11" s="998"/>
      <c r="D11" s="234" t="s">
        <v>615</v>
      </c>
      <c r="E11" s="235" t="s">
        <v>616</v>
      </c>
      <c r="F11" s="236">
        <v>60</v>
      </c>
      <c r="G11" s="234">
        <v>2</v>
      </c>
      <c r="H11" s="237"/>
      <c r="I11" s="237"/>
      <c r="J11" s="237"/>
      <c r="K11" s="237"/>
      <c r="L11" s="237"/>
      <c r="M11" s="237">
        <f t="shared" si="2"/>
        <v>0</v>
      </c>
      <c r="N11" s="237">
        <v>1</v>
      </c>
      <c r="O11" s="237">
        <f t="shared" si="3"/>
        <v>16</v>
      </c>
      <c r="P11" s="237"/>
      <c r="Q11" s="237"/>
      <c r="R11" s="237"/>
      <c r="S11" s="237"/>
      <c r="T11" s="238">
        <f>SUM(H11,J11,L11,N11,P11,R11)</f>
        <v>1</v>
      </c>
      <c r="U11" s="239">
        <f>SUM(I11,K11,M11,O11,Q11,S11)</f>
        <v>16</v>
      </c>
    </row>
    <row r="12" spans="2:33">
      <c r="B12" s="995"/>
      <c r="C12" s="998"/>
      <c r="D12" s="242" t="s">
        <v>617</v>
      </c>
      <c r="E12" s="235" t="s">
        <v>618</v>
      </c>
      <c r="F12" s="236">
        <v>60</v>
      </c>
      <c r="G12" s="243">
        <v>3</v>
      </c>
      <c r="H12" s="237"/>
      <c r="I12" s="237"/>
      <c r="J12" s="237"/>
      <c r="K12" s="237"/>
      <c r="L12" s="237"/>
      <c r="M12" s="237">
        <f t="shared" si="2"/>
        <v>0</v>
      </c>
      <c r="N12" s="244">
        <v>3</v>
      </c>
      <c r="O12" s="244">
        <f t="shared" si="3"/>
        <v>48</v>
      </c>
      <c r="P12" s="237"/>
      <c r="Q12" s="237"/>
      <c r="R12" s="237"/>
      <c r="S12" s="237"/>
      <c r="T12" s="238">
        <f t="shared" si="6"/>
        <v>3</v>
      </c>
      <c r="U12" s="239">
        <f t="shared" si="7"/>
        <v>48</v>
      </c>
    </row>
    <row r="13" spans="2:33" ht="18" thickBot="1">
      <c r="B13" s="996"/>
      <c r="C13" s="999"/>
      <c r="D13" s="993" t="s">
        <v>16</v>
      </c>
      <c r="E13" s="993"/>
      <c r="F13" s="175"/>
      <c r="G13" s="175"/>
      <c r="H13" s="27">
        <f>SUM(H11:H12)</f>
        <v>0</v>
      </c>
      <c r="I13" s="27">
        <f>SUM(I11:I12)</f>
        <v>0</v>
      </c>
      <c r="J13" s="27">
        <f>SUM(J11:J12)</f>
        <v>0</v>
      </c>
      <c r="K13" s="27">
        <f>SUM(K11:K12)</f>
        <v>0</v>
      </c>
      <c r="L13" s="27">
        <f t="shared" ref="L13:U13" si="8">SUM(L9:L12)</f>
        <v>3</v>
      </c>
      <c r="M13" s="27">
        <f t="shared" si="8"/>
        <v>48</v>
      </c>
      <c r="N13" s="27">
        <f t="shared" si="8"/>
        <v>4</v>
      </c>
      <c r="O13" s="27">
        <f t="shared" si="8"/>
        <v>64</v>
      </c>
      <c r="P13" s="27">
        <f t="shared" si="8"/>
        <v>0</v>
      </c>
      <c r="Q13" s="27">
        <f t="shared" si="8"/>
        <v>0</v>
      </c>
      <c r="R13" s="27">
        <f t="shared" si="8"/>
        <v>0</v>
      </c>
      <c r="S13" s="27">
        <f t="shared" si="8"/>
        <v>0</v>
      </c>
      <c r="T13" s="245">
        <f t="shared" si="8"/>
        <v>7</v>
      </c>
      <c r="U13" s="245">
        <f t="shared" si="8"/>
        <v>112</v>
      </c>
    </row>
    <row r="14" spans="2:33" ht="17.399999999999999" customHeight="1">
      <c r="B14" s="967" t="s">
        <v>620</v>
      </c>
      <c r="C14" s="970">
        <f>T20</f>
        <v>11</v>
      </c>
      <c r="D14" s="246" t="s">
        <v>621</v>
      </c>
      <c r="E14" s="230" t="s">
        <v>622</v>
      </c>
      <c r="F14" s="230">
        <v>60</v>
      </c>
      <c r="G14" s="230">
        <v>2</v>
      </c>
      <c r="H14" s="247"/>
      <c r="I14" s="248"/>
      <c r="J14" s="248"/>
      <c r="K14" s="466"/>
      <c r="L14" s="465">
        <v>2</v>
      </c>
      <c r="M14" s="249">
        <f>L14*16</f>
        <v>32</v>
      </c>
      <c r="N14" s="220"/>
      <c r="O14" s="220"/>
      <c r="P14" s="250"/>
      <c r="Q14" s="250"/>
      <c r="R14" s="220"/>
      <c r="S14" s="220"/>
      <c r="T14" s="251">
        <f>SUM(H14,J14,L14,N14,P14,R14)</f>
        <v>2</v>
      </c>
      <c r="U14" s="252">
        <f>T14*16</f>
        <v>32</v>
      </c>
      <c r="W14" s="33"/>
    </row>
    <row r="15" spans="2:33">
      <c r="B15" s="968"/>
      <c r="C15" s="971"/>
      <c r="D15" s="253" t="s">
        <v>623</v>
      </c>
      <c r="E15" s="236" t="s">
        <v>624</v>
      </c>
      <c r="F15" s="236">
        <v>30</v>
      </c>
      <c r="G15" s="236">
        <v>3</v>
      </c>
      <c r="H15" s="254"/>
      <c r="I15" s="255"/>
      <c r="J15" s="255"/>
      <c r="K15" s="255"/>
      <c r="L15" s="227">
        <v>2</v>
      </c>
      <c r="M15" s="227">
        <f t="shared" ref="M15:M18" si="9">L15*16</f>
        <v>32</v>
      </c>
      <c r="N15" s="256"/>
      <c r="O15" s="257">
        <f>N15*16</f>
        <v>0</v>
      </c>
      <c r="P15" s="258"/>
      <c r="Q15" s="257"/>
      <c r="R15" s="257"/>
      <c r="S15" s="257"/>
      <c r="T15" s="259">
        <f>SUM(H15,J15,L15,N15,P15,R15)</f>
        <v>2</v>
      </c>
      <c r="U15" s="260">
        <f>T15*16</f>
        <v>32</v>
      </c>
    </row>
    <row r="16" spans="2:33">
      <c r="B16" s="968"/>
      <c r="C16" s="971"/>
      <c r="D16" s="261" t="s">
        <v>625</v>
      </c>
      <c r="E16" s="262" t="s">
        <v>626</v>
      </c>
      <c r="F16" s="262">
        <v>15</v>
      </c>
      <c r="G16" s="262">
        <v>2</v>
      </c>
      <c r="H16" s="263"/>
      <c r="I16" s="256"/>
      <c r="J16" s="256"/>
      <c r="K16" s="256"/>
      <c r="L16" s="256">
        <v>1</v>
      </c>
      <c r="M16" s="256">
        <v>16</v>
      </c>
      <c r="N16" s="256"/>
      <c r="O16" s="256"/>
      <c r="P16" s="264"/>
      <c r="Q16" s="256"/>
      <c r="R16" s="256"/>
      <c r="S16" s="256"/>
      <c r="T16" s="259">
        <v>1</v>
      </c>
      <c r="U16" s="260">
        <v>16</v>
      </c>
    </row>
    <row r="17" spans="2:21">
      <c r="B17" s="968"/>
      <c r="C17" s="971"/>
      <c r="D17" s="265" t="s">
        <v>627</v>
      </c>
      <c r="E17" s="262" t="s">
        <v>628</v>
      </c>
      <c r="F17" s="262">
        <v>60</v>
      </c>
      <c r="G17" s="262">
        <v>2</v>
      </c>
      <c r="H17" s="263"/>
      <c r="I17" s="256"/>
      <c r="J17" s="256"/>
      <c r="K17" s="256"/>
      <c r="L17" s="256"/>
      <c r="M17" s="256">
        <f t="shared" si="9"/>
        <v>0</v>
      </c>
      <c r="N17" s="227">
        <v>2</v>
      </c>
      <c r="O17" s="227">
        <f t="shared" ref="O17:O19" si="10">N17*16</f>
        <v>32</v>
      </c>
      <c r="P17" s="264"/>
      <c r="Q17" s="256"/>
      <c r="R17" s="256"/>
      <c r="S17" s="256"/>
      <c r="T17" s="259">
        <f t="shared" ref="T17:T19" si="11">SUM(H17,J17,L17,N17,P17,R17)</f>
        <v>2</v>
      </c>
      <c r="U17" s="260">
        <f t="shared" ref="U17:U19" si="12">T17*16</f>
        <v>32</v>
      </c>
    </row>
    <row r="18" spans="2:21">
      <c r="B18" s="968"/>
      <c r="C18" s="971"/>
      <c r="D18" s="265" t="s">
        <v>629</v>
      </c>
      <c r="E18" s="262" t="s">
        <v>630</v>
      </c>
      <c r="F18" s="262">
        <v>60</v>
      </c>
      <c r="G18" s="262">
        <v>3</v>
      </c>
      <c r="H18" s="263"/>
      <c r="I18" s="224"/>
      <c r="J18" s="224"/>
      <c r="K18" s="224"/>
      <c r="L18" s="224"/>
      <c r="M18" s="224">
        <f t="shared" si="9"/>
        <v>0</v>
      </c>
      <c r="N18" s="227">
        <v>2</v>
      </c>
      <c r="O18" s="227">
        <f t="shared" si="10"/>
        <v>32</v>
      </c>
      <c r="P18" s="264"/>
      <c r="Q18" s="256"/>
      <c r="R18" s="224"/>
      <c r="S18" s="224"/>
      <c r="T18" s="259">
        <f t="shared" si="11"/>
        <v>2</v>
      </c>
      <c r="U18" s="260">
        <f t="shared" si="12"/>
        <v>32</v>
      </c>
    </row>
    <row r="19" spans="2:21">
      <c r="B19" s="968"/>
      <c r="C19" s="971"/>
      <c r="D19" s="265" t="s">
        <v>631</v>
      </c>
      <c r="E19" s="262" t="s">
        <v>632</v>
      </c>
      <c r="F19" s="262">
        <v>40</v>
      </c>
      <c r="G19" s="262">
        <v>3</v>
      </c>
      <c r="H19" s="263"/>
      <c r="I19" s="224"/>
      <c r="J19" s="224"/>
      <c r="K19" s="224"/>
      <c r="L19" s="224"/>
      <c r="M19" s="224"/>
      <c r="N19" s="227">
        <v>2</v>
      </c>
      <c r="O19" s="227">
        <f t="shared" si="10"/>
        <v>32</v>
      </c>
      <c r="P19" s="264"/>
      <c r="Q19" s="256"/>
      <c r="R19" s="224"/>
      <c r="S19" s="224"/>
      <c r="T19" s="259">
        <f t="shared" si="11"/>
        <v>2</v>
      </c>
      <c r="U19" s="260">
        <f t="shared" si="12"/>
        <v>32</v>
      </c>
    </row>
    <row r="20" spans="2:21" ht="18" thickBot="1">
      <c r="B20" s="969"/>
      <c r="C20" s="972"/>
      <c r="D20" s="992" t="s">
        <v>16</v>
      </c>
      <c r="E20" s="992"/>
      <c r="F20" s="266"/>
      <c r="G20" s="266"/>
      <c r="H20" s="267"/>
      <c r="I20" s="267"/>
      <c r="J20" s="267"/>
      <c r="K20" s="267"/>
      <c r="L20" s="267">
        <f>SUM(L14:L19)</f>
        <v>5</v>
      </c>
      <c r="M20" s="267">
        <f>SUM(M14:M19)</f>
        <v>80</v>
      </c>
      <c r="N20" s="267">
        <f>SUM(N15:N19)</f>
        <v>6</v>
      </c>
      <c r="O20" s="267">
        <f>SUM(O15:O19)</f>
        <v>96</v>
      </c>
      <c r="P20" s="267"/>
      <c r="Q20" s="267"/>
      <c r="R20" s="267"/>
      <c r="S20" s="267"/>
      <c r="T20" s="268">
        <f>SUM(T14:T19)</f>
        <v>11</v>
      </c>
      <c r="U20" s="269">
        <f>SUM(U14:U19)</f>
        <v>176</v>
      </c>
    </row>
    <row r="21" spans="2:21">
      <c r="B21" s="967" t="s">
        <v>633</v>
      </c>
      <c r="C21" s="970">
        <f>T23</f>
        <v>11</v>
      </c>
      <c r="D21" s="270" t="s">
        <v>634</v>
      </c>
      <c r="E21" s="271" t="s">
        <v>635</v>
      </c>
      <c r="F21" s="271">
        <v>30</v>
      </c>
      <c r="G21" s="271">
        <v>3</v>
      </c>
      <c r="H21" s="272"/>
      <c r="I21" s="220"/>
      <c r="J21" s="220"/>
      <c r="K21" s="220"/>
      <c r="L21" s="220"/>
      <c r="M21" s="220"/>
      <c r="N21" s="220"/>
      <c r="O21" s="220"/>
      <c r="P21" s="273"/>
      <c r="Q21" s="273"/>
      <c r="R21" s="220">
        <v>5</v>
      </c>
      <c r="S21" s="256">
        <f t="shared" ref="S21:S22" si="13">R21*16</f>
        <v>80</v>
      </c>
      <c r="T21" s="259">
        <f t="shared" ref="T21:T22" si="14">SUM(H21,J21,L21,N21,P21,R21)</f>
        <v>5</v>
      </c>
      <c r="U21" s="260">
        <f t="shared" ref="U21:U22" si="15">T21*16</f>
        <v>80</v>
      </c>
    </row>
    <row r="22" spans="2:21">
      <c r="B22" s="968"/>
      <c r="C22" s="971"/>
      <c r="D22" s="261" t="s">
        <v>636</v>
      </c>
      <c r="E22" s="262" t="s">
        <v>637</v>
      </c>
      <c r="F22" s="262">
        <v>40</v>
      </c>
      <c r="G22" s="262">
        <v>4</v>
      </c>
      <c r="H22" s="263"/>
      <c r="I22" s="256"/>
      <c r="J22" s="256"/>
      <c r="K22" s="256"/>
      <c r="L22" s="256"/>
      <c r="M22" s="256"/>
      <c r="N22" s="256"/>
      <c r="O22" s="256"/>
      <c r="P22" s="264"/>
      <c r="Q22" s="256"/>
      <c r="R22" s="256">
        <v>6</v>
      </c>
      <c r="S22" s="256">
        <f t="shared" si="13"/>
        <v>96</v>
      </c>
      <c r="T22" s="259">
        <f t="shared" si="14"/>
        <v>6</v>
      </c>
      <c r="U22" s="260">
        <f t="shared" si="15"/>
        <v>96</v>
      </c>
    </row>
    <row r="23" spans="2:21" ht="18" thickBot="1">
      <c r="B23" s="969"/>
      <c r="C23" s="972"/>
      <c r="D23" s="973" t="s">
        <v>16</v>
      </c>
      <c r="E23" s="973"/>
      <c r="F23" s="274"/>
      <c r="G23" s="274"/>
      <c r="H23" s="275"/>
      <c r="I23" s="275"/>
      <c r="J23" s="275"/>
      <c r="K23" s="275"/>
      <c r="L23" s="267"/>
      <c r="M23" s="267"/>
      <c r="N23" s="267"/>
      <c r="O23" s="267"/>
      <c r="P23" s="276"/>
      <c r="Q23" s="276"/>
      <c r="R23" s="276">
        <f>SUM(R21:R22)</f>
        <v>11</v>
      </c>
      <c r="S23" s="276">
        <f>SUM(S21:S22)</f>
        <v>176</v>
      </c>
      <c r="T23" s="353">
        <f>SUM(T21:T22)</f>
        <v>11</v>
      </c>
      <c r="U23" s="354">
        <f>SUM(U21:U22)</f>
        <v>176</v>
      </c>
    </row>
    <row r="24" spans="2:21">
      <c r="B24" s="939" t="s">
        <v>638</v>
      </c>
      <c r="C24" s="976">
        <f>T29</f>
        <v>10</v>
      </c>
      <c r="D24" s="277" t="s">
        <v>639</v>
      </c>
      <c r="E24" s="277" t="s">
        <v>640</v>
      </c>
      <c r="F24" s="277">
        <v>40</v>
      </c>
      <c r="G24" s="278">
        <v>2</v>
      </c>
      <c r="H24" s="279"/>
      <c r="I24" s="280"/>
      <c r="J24" s="278">
        <v>2</v>
      </c>
      <c r="K24" s="278">
        <v>32</v>
      </c>
      <c r="L24" s="280"/>
      <c r="M24" s="280"/>
      <c r="N24" s="280"/>
      <c r="O24" s="280"/>
      <c r="P24" s="280"/>
      <c r="Q24" s="280"/>
      <c r="R24" s="280"/>
      <c r="S24" s="280"/>
      <c r="T24" s="281">
        <f>SUM(H24,J24,L24,N24,P24,R24)</f>
        <v>2</v>
      </c>
      <c r="U24" s="282">
        <f>T24*16</f>
        <v>32</v>
      </c>
    </row>
    <row r="25" spans="2:21">
      <c r="B25" s="974"/>
      <c r="C25" s="977"/>
      <c r="D25" s="223" t="s">
        <v>641</v>
      </c>
      <c r="E25" s="223" t="s">
        <v>642</v>
      </c>
      <c r="F25" s="223">
        <v>40</v>
      </c>
      <c r="G25" s="236">
        <v>3</v>
      </c>
      <c r="H25" s="283"/>
      <c r="I25" s="284"/>
      <c r="J25" s="236">
        <v>2</v>
      </c>
      <c r="K25" s="236">
        <v>32</v>
      </c>
      <c r="L25" s="284"/>
      <c r="M25" s="284"/>
      <c r="N25" s="284"/>
      <c r="O25" s="284"/>
      <c r="P25" s="284"/>
      <c r="Q25" s="284"/>
      <c r="R25" s="284"/>
      <c r="S25" s="284"/>
      <c r="T25" s="285">
        <f t="shared" ref="T25:T28" si="16">SUM(H25,J25,L25,N25,P25,R25)</f>
        <v>2</v>
      </c>
      <c r="U25" s="286">
        <f t="shared" ref="U25:U28" si="17">T25*16</f>
        <v>32</v>
      </c>
    </row>
    <row r="26" spans="2:21">
      <c r="B26" s="974"/>
      <c r="C26" s="977"/>
      <c r="D26" s="287" t="s">
        <v>643</v>
      </c>
      <c r="E26" s="277" t="s">
        <v>644</v>
      </c>
      <c r="F26" s="277">
        <v>40</v>
      </c>
      <c r="G26" s="278">
        <v>3</v>
      </c>
      <c r="H26" s="283"/>
      <c r="I26" s="284"/>
      <c r="J26" s="236"/>
      <c r="K26" s="236"/>
      <c r="L26" s="288">
        <v>2</v>
      </c>
      <c r="M26" s="288">
        <f>L26*16</f>
        <v>32</v>
      </c>
      <c r="N26" s="284"/>
      <c r="O26" s="284"/>
      <c r="P26" s="284"/>
      <c r="Q26" s="284"/>
      <c r="R26" s="284"/>
      <c r="S26" s="284"/>
      <c r="T26" s="285">
        <f t="shared" si="16"/>
        <v>2</v>
      </c>
      <c r="U26" s="286">
        <f t="shared" si="17"/>
        <v>32</v>
      </c>
    </row>
    <row r="27" spans="2:21">
      <c r="B27" s="975"/>
      <c r="C27" s="978"/>
      <c r="D27" s="289" t="s">
        <v>645</v>
      </c>
      <c r="E27" s="223" t="s">
        <v>646</v>
      </c>
      <c r="F27" s="223">
        <v>40</v>
      </c>
      <c r="G27" s="236">
        <v>3</v>
      </c>
      <c r="H27" s="290"/>
      <c r="I27" s="291"/>
      <c r="J27" s="292"/>
      <c r="K27" s="292"/>
      <c r="L27" s="288">
        <v>2</v>
      </c>
      <c r="M27" s="288">
        <f>L27*16</f>
        <v>32</v>
      </c>
      <c r="N27" s="291"/>
      <c r="O27" s="291"/>
      <c r="P27" s="291"/>
      <c r="Q27" s="291"/>
      <c r="R27" s="291"/>
      <c r="S27" s="291"/>
      <c r="T27" s="293">
        <f t="shared" si="16"/>
        <v>2</v>
      </c>
      <c r="U27" s="294">
        <f t="shared" si="17"/>
        <v>32</v>
      </c>
    </row>
    <row r="28" spans="2:21">
      <c r="B28" s="975"/>
      <c r="C28" s="978"/>
      <c r="D28" s="289" t="s">
        <v>647</v>
      </c>
      <c r="E28" s="223" t="s">
        <v>648</v>
      </c>
      <c r="F28" s="223">
        <v>40</v>
      </c>
      <c r="G28" s="236">
        <v>3</v>
      </c>
      <c r="H28" s="290"/>
      <c r="I28" s="291"/>
      <c r="J28" s="292"/>
      <c r="K28" s="292"/>
      <c r="L28" s="288">
        <v>2</v>
      </c>
      <c r="M28" s="288">
        <f>L28*16</f>
        <v>32</v>
      </c>
      <c r="N28" s="291"/>
      <c r="O28" s="291"/>
      <c r="P28" s="291"/>
      <c r="Q28" s="291"/>
      <c r="R28" s="291"/>
      <c r="S28" s="291"/>
      <c r="T28" s="293">
        <f t="shared" si="16"/>
        <v>2</v>
      </c>
      <c r="U28" s="294">
        <f t="shared" si="17"/>
        <v>32</v>
      </c>
    </row>
    <row r="29" spans="2:21" ht="18" thickBot="1">
      <c r="B29" s="940"/>
      <c r="C29" s="979"/>
      <c r="D29" s="980" t="s">
        <v>16</v>
      </c>
      <c r="E29" s="980"/>
      <c r="F29" s="266"/>
      <c r="G29" s="266"/>
      <c r="H29" s="295"/>
      <c r="I29" s="295"/>
      <c r="J29" s="295">
        <f>SUM(J24:J26)</f>
        <v>4</v>
      </c>
      <c r="K29" s="295">
        <f>SUM(K24:K26)</f>
        <v>64</v>
      </c>
      <c r="L29" s="295">
        <v>6</v>
      </c>
      <c r="M29" s="295">
        <v>96</v>
      </c>
      <c r="N29" s="295"/>
      <c r="O29" s="295"/>
      <c r="P29" s="295">
        <f t="shared" ref="P29:S29" si="18">SUM(P24:P26)</f>
        <v>0</v>
      </c>
      <c r="Q29" s="295">
        <f t="shared" si="18"/>
        <v>0</v>
      </c>
      <c r="R29" s="295">
        <f t="shared" si="18"/>
        <v>0</v>
      </c>
      <c r="S29" s="295">
        <f t="shared" si="18"/>
        <v>0</v>
      </c>
      <c r="T29" s="296">
        <f>SUM(T24:T28)</f>
        <v>10</v>
      </c>
      <c r="U29" s="297">
        <f>SUM(U24:U28)</f>
        <v>160</v>
      </c>
    </row>
    <row r="30" spans="2:21">
      <c r="B30" s="938" t="s">
        <v>649</v>
      </c>
      <c r="C30" s="941">
        <f>T34</f>
        <v>10</v>
      </c>
      <c r="D30" s="298" t="s">
        <v>650</v>
      </c>
      <c r="E30" s="298" t="s">
        <v>651</v>
      </c>
      <c r="F30" s="298" t="s">
        <v>652</v>
      </c>
      <c r="G30" s="230">
        <v>2</v>
      </c>
      <c r="H30" s="299"/>
      <c r="I30" s="300"/>
      <c r="J30" s="300">
        <v>2</v>
      </c>
      <c r="K30" s="300">
        <f>J30*16</f>
        <v>32</v>
      </c>
      <c r="L30" s="301"/>
      <c r="M30" s="301"/>
      <c r="N30" s="301"/>
      <c r="O30" s="301">
        <f>N30*16</f>
        <v>0</v>
      </c>
      <c r="P30" s="301"/>
      <c r="Q30" s="301"/>
      <c r="R30" s="301"/>
      <c r="S30" s="301"/>
      <c r="T30" s="302">
        <f t="shared" ref="T30:U31" si="19">SUM(H30,J30,L30,N30,P30,R30)</f>
        <v>2</v>
      </c>
      <c r="U30" s="303">
        <f t="shared" si="19"/>
        <v>32</v>
      </c>
    </row>
    <row r="31" spans="2:21">
      <c r="B31" s="939"/>
      <c r="C31" s="942"/>
      <c r="D31" s="304" t="s">
        <v>653</v>
      </c>
      <c r="E31" s="304" t="s">
        <v>654</v>
      </c>
      <c r="F31" s="304">
        <v>40</v>
      </c>
      <c r="G31" s="236">
        <v>2</v>
      </c>
      <c r="H31" s="305"/>
      <c r="I31" s="306"/>
      <c r="J31" s="307">
        <v>3</v>
      </c>
      <c r="K31" s="307">
        <f>J31*16</f>
        <v>48</v>
      </c>
      <c r="L31" s="306"/>
      <c r="M31" s="306"/>
      <c r="N31" s="306"/>
      <c r="O31" s="306"/>
      <c r="P31" s="306"/>
      <c r="Q31" s="306"/>
      <c r="R31" s="306"/>
      <c r="S31" s="306"/>
      <c r="T31" s="281">
        <f t="shared" si="19"/>
        <v>3</v>
      </c>
      <c r="U31" s="282">
        <f t="shared" si="19"/>
        <v>48</v>
      </c>
    </row>
    <row r="32" spans="2:21">
      <c r="B32" s="939"/>
      <c r="C32" s="942"/>
      <c r="D32" s="308" t="s">
        <v>655</v>
      </c>
      <c r="E32" s="309" t="s">
        <v>656</v>
      </c>
      <c r="F32" s="309" t="s">
        <v>652</v>
      </c>
      <c r="G32" s="278">
        <v>3</v>
      </c>
      <c r="H32" s="305"/>
      <c r="I32" s="306"/>
      <c r="J32" s="306"/>
      <c r="K32" s="306"/>
      <c r="L32" s="310">
        <v>2</v>
      </c>
      <c r="M32" s="310">
        <f>L32*16</f>
        <v>32</v>
      </c>
      <c r="N32" s="306"/>
      <c r="O32" s="306"/>
      <c r="P32" s="306"/>
      <c r="Q32" s="306"/>
      <c r="R32" s="306"/>
      <c r="S32" s="306"/>
      <c r="T32" s="281">
        <v>2</v>
      </c>
      <c r="U32" s="282">
        <v>32</v>
      </c>
    </row>
    <row r="33" spans="2:21">
      <c r="B33" s="939"/>
      <c r="C33" s="942"/>
      <c r="D33" s="311" t="s">
        <v>657</v>
      </c>
      <c r="E33" s="304" t="s">
        <v>658</v>
      </c>
      <c r="F33" s="304">
        <v>50</v>
      </c>
      <c r="G33" s="236">
        <v>4</v>
      </c>
      <c r="H33" s="312"/>
      <c r="I33" s="307"/>
      <c r="J33" s="307"/>
      <c r="K33" s="307"/>
      <c r="L33" s="313">
        <v>3</v>
      </c>
      <c r="M33" s="313">
        <f>L33*16</f>
        <v>48</v>
      </c>
      <c r="N33" s="314"/>
      <c r="O33" s="314"/>
      <c r="P33" s="306"/>
      <c r="Q33" s="306"/>
      <c r="R33" s="306"/>
      <c r="S33" s="306"/>
      <c r="T33" s="281">
        <f t="shared" ref="T33:U33" si="20">SUM(H33,J33,L33,N33,P33,R33)</f>
        <v>3</v>
      </c>
      <c r="U33" s="282">
        <f t="shared" si="20"/>
        <v>48</v>
      </c>
    </row>
    <row r="34" spans="2:21" ht="18" thickBot="1">
      <c r="B34" s="940"/>
      <c r="C34" s="943"/>
      <c r="D34" s="937" t="s">
        <v>16</v>
      </c>
      <c r="E34" s="937"/>
      <c r="F34" s="274"/>
      <c r="G34" s="274"/>
      <c r="H34" s="315"/>
      <c r="I34" s="315"/>
      <c r="J34" s="315">
        <f t="shared" ref="J34:U34" si="21">SUM(J30:J33)</f>
        <v>5</v>
      </c>
      <c r="K34" s="315">
        <f t="shared" si="21"/>
        <v>80</v>
      </c>
      <c r="L34" s="315">
        <f t="shared" si="21"/>
        <v>5</v>
      </c>
      <c r="M34" s="315">
        <f t="shared" si="21"/>
        <v>80</v>
      </c>
      <c r="N34" s="315">
        <f t="shared" si="21"/>
        <v>0</v>
      </c>
      <c r="O34" s="315">
        <f t="shared" si="21"/>
        <v>0</v>
      </c>
      <c r="P34" s="315">
        <f t="shared" si="21"/>
        <v>0</v>
      </c>
      <c r="Q34" s="315">
        <f t="shared" si="21"/>
        <v>0</v>
      </c>
      <c r="R34" s="315">
        <f t="shared" si="21"/>
        <v>0</v>
      </c>
      <c r="S34" s="315">
        <f t="shared" si="21"/>
        <v>0</v>
      </c>
      <c r="T34" s="296">
        <f t="shared" si="21"/>
        <v>10</v>
      </c>
      <c r="U34" s="297">
        <f t="shared" si="21"/>
        <v>160</v>
      </c>
    </row>
    <row r="35" spans="2:21">
      <c r="B35" s="944" t="s">
        <v>659</v>
      </c>
      <c r="C35" s="947">
        <f>T38</f>
        <v>8</v>
      </c>
      <c r="D35" s="316" t="s">
        <v>660</v>
      </c>
      <c r="E35" s="278" t="s">
        <v>661</v>
      </c>
      <c r="F35" s="278">
        <v>50</v>
      </c>
      <c r="G35" s="278">
        <v>2</v>
      </c>
      <c r="H35" s="278"/>
      <c r="I35" s="306"/>
      <c r="J35" s="306"/>
      <c r="K35" s="306"/>
      <c r="L35" s="317"/>
      <c r="M35" s="317"/>
      <c r="N35" s="310">
        <v>3</v>
      </c>
      <c r="O35" s="310">
        <f t="shared" ref="O35:O37" si="22">N35*16</f>
        <v>48</v>
      </c>
      <c r="P35" s="306"/>
      <c r="Q35" s="306"/>
      <c r="R35" s="306"/>
      <c r="S35" s="306"/>
      <c r="T35" s="281">
        <f t="shared" ref="T35:U37" si="23">SUM(H35,J35,L35,N35,P35,R35)</f>
        <v>3</v>
      </c>
      <c r="U35" s="282">
        <f t="shared" si="23"/>
        <v>48</v>
      </c>
    </row>
    <row r="36" spans="2:21">
      <c r="B36" s="945"/>
      <c r="C36" s="948"/>
      <c r="D36" s="318" t="s">
        <v>662</v>
      </c>
      <c r="E36" s="236" t="s">
        <v>663</v>
      </c>
      <c r="F36" s="236">
        <v>50</v>
      </c>
      <c r="G36" s="236">
        <v>4</v>
      </c>
      <c r="H36" s="278"/>
      <c r="I36" s="306"/>
      <c r="J36" s="306"/>
      <c r="K36" s="306"/>
      <c r="L36" s="317"/>
      <c r="M36" s="317"/>
      <c r="N36" s="313">
        <v>3</v>
      </c>
      <c r="O36" s="313">
        <f t="shared" si="22"/>
        <v>48</v>
      </c>
      <c r="P36" s="306"/>
      <c r="Q36" s="306"/>
      <c r="R36" s="306"/>
      <c r="S36" s="306"/>
      <c r="T36" s="281">
        <f t="shared" si="23"/>
        <v>3</v>
      </c>
      <c r="U36" s="282">
        <f t="shared" si="23"/>
        <v>48</v>
      </c>
    </row>
    <row r="37" spans="2:21">
      <c r="B37" s="945"/>
      <c r="C37" s="948"/>
      <c r="D37" s="318" t="s">
        <v>664</v>
      </c>
      <c r="E37" s="236" t="s">
        <v>665</v>
      </c>
      <c r="F37" s="236">
        <v>50</v>
      </c>
      <c r="G37" s="236">
        <v>3</v>
      </c>
      <c r="H37" s="236"/>
      <c r="I37" s="307"/>
      <c r="J37" s="307"/>
      <c r="K37" s="307"/>
      <c r="L37" s="314"/>
      <c r="M37" s="314"/>
      <c r="N37" s="313">
        <v>2</v>
      </c>
      <c r="O37" s="313">
        <f t="shared" si="22"/>
        <v>32</v>
      </c>
      <c r="P37" s="314"/>
      <c r="Q37" s="314"/>
      <c r="R37" s="307"/>
      <c r="S37" s="307"/>
      <c r="T37" s="281">
        <f t="shared" si="23"/>
        <v>2</v>
      </c>
      <c r="U37" s="282">
        <f t="shared" si="23"/>
        <v>32</v>
      </c>
    </row>
    <row r="38" spans="2:21" ht="18" thickBot="1">
      <c r="B38" s="946"/>
      <c r="C38" s="949"/>
      <c r="D38" s="937" t="s">
        <v>16</v>
      </c>
      <c r="E38" s="937"/>
      <c r="F38" s="274"/>
      <c r="G38" s="274"/>
      <c r="H38" s="315"/>
      <c r="I38" s="315"/>
      <c r="J38" s="315"/>
      <c r="K38" s="315"/>
      <c r="L38" s="315">
        <f t="shared" ref="L38:T38" si="24">SUM(L35:L37)</f>
        <v>0</v>
      </c>
      <c r="M38" s="315">
        <f t="shared" si="24"/>
        <v>0</v>
      </c>
      <c r="N38" s="315">
        <f t="shared" si="24"/>
        <v>8</v>
      </c>
      <c r="O38" s="315">
        <f t="shared" si="24"/>
        <v>128</v>
      </c>
      <c r="P38" s="315">
        <f t="shared" si="24"/>
        <v>0</v>
      </c>
      <c r="Q38" s="315">
        <f t="shared" si="24"/>
        <v>0</v>
      </c>
      <c r="R38" s="315">
        <f t="shared" si="24"/>
        <v>0</v>
      </c>
      <c r="S38" s="315">
        <f t="shared" si="24"/>
        <v>0</v>
      </c>
      <c r="T38" s="296">
        <f t="shared" si="24"/>
        <v>8</v>
      </c>
      <c r="U38" s="297">
        <f>SUM(U35:U37)</f>
        <v>128</v>
      </c>
    </row>
    <row r="39" spans="2:21">
      <c r="B39" s="939" t="s">
        <v>666</v>
      </c>
      <c r="C39" s="942">
        <f>T43</f>
        <v>13</v>
      </c>
      <c r="D39" s="316" t="s">
        <v>667</v>
      </c>
      <c r="E39" s="278" t="s">
        <v>668</v>
      </c>
      <c r="F39" s="278">
        <v>50</v>
      </c>
      <c r="G39" s="278">
        <v>4</v>
      </c>
      <c r="H39" s="319"/>
      <c r="I39" s="306"/>
      <c r="J39" s="306"/>
      <c r="K39" s="306"/>
      <c r="L39" s="306"/>
      <c r="M39" s="306"/>
      <c r="N39" s="310">
        <v>2</v>
      </c>
      <c r="O39" s="310">
        <f>N39*16</f>
        <v>32</v>
      </c>
      <c r="P39" s="317"/>
      <c r="Q39" s="317"/>
      <c r="R39" s="306"/>
      <c r="S39" s="306">
        <f>R39*16</f>
        <v>0</v>
      </c>
      <c r="T39" s="281">
        <f t="shared" ref="T39:U42" si="25">SUM(H39,J39,L39,N39,P39,R39)</f>
        <v>2</v>
      </c>
      <c r="U39" s="282">
        <f t="shared" si="25"/>
        <v>32</v>
      </c>
    </row>
    <row r="40" spans="2:21">
      <c r="B40" s="974"/>
      <c r="C40" s="1000"/>
      <c r="D40" s="236" t="s">
        <v>669</v>
      </c>
      <c r="E40" s="236" t="s">
        <v>670</v>
      </c>
      <c r="F40" s="236">
        <v>30</v>
      </c>
      <c r="G40" s="236">
        <v>3</v>
      </c>
      <c r="H40" s="320"/>
      <c r="I40" s="307"/>
      <c r="J40" s="307"/>
      <c r="K40" s="307"/>
      <c r="L40" s="307"/>
      <c r="M40" s="307"/>
      <c r="N40" s="307">
        <v>1</v>
      </c>
      <c r="O40" s="307">
        <f t="shared" ref="O40" si="26">N40*16</f>
        <v>16</v>
      </c>
      <c r="P40" s="307"/>
      <c r="Q40" s="307"/>
      <c r="R40" s="307"/>
      <c r="S40" s="307">
        <f t="shared" ref="S40" si="27">R40*16</f>
        <v>0</v>
      </c>
      <c r="T40" s="285">
        <f t="shared" si="25"/>
        <v>1</v>
      </c>
      <c r="U40" s="286">
        <f t="shared" si="25"/>
        <v>16</v>
      </c>
    </row>
    <row r="41" spans="2:21">
      <c r="B41" s="974"/>
      <c r="C41" s="1000"/>
      <c r="D41" s="235" t="s">
        <v>671</v>
      </c>
      <c r="E41" s="235" t="s">
        <v>672</v>
      </c>
      <c r="F41" s="235">
        <v>40</v>
      </c>
      <c r="G41" s="235">
        <v>3</v>
      </c>
      <c r="H41" s="320"/>
      <c r="I41" s="307"/>
      <c r="J41" s="307"/>
      <c r="K41" s="307"/>
      <c r="L41" s="307"/>
      <c r="M41" s="307"/>
      <c r="N41" s="307"/>
      <c r="O41" s="307"/>
      <c r="P41" s="307">
        <v>5</v>
      </c>
      <c r="Q41" s="307">
        <f t="shared" ref="Q41:Q42" si="28">P41*16</f>
        <v>80</v>
      </c>
      <c r="R41" s="307"/>
      <c r="S41" s="307"/>
      <c r="T41" s="285">
        <f t="shared" si="25"/>
        <v>5</v>
      </c>
      <c r="U41" s="286">
        <f t="shared" si="25"/>
        <v>80</v>
      </c>
    </row>
    <row r="42" spans="2:21">
      <c r="B42" s="974"/>
      <c r="C42" s="1001"/>
      <c r="D42" s="236" t="s">
        <v>673</v>
      </c>
      <c r="E42" s="236" t="s">
        <v>674</v>
      </c>
      <c r="F42" s="236">
        <v>30</v>
      </c>
      <c r="G42" s="236">
        <v>3</v>
      </c>
      <c r="H42" s="320"/>
      <c r="I42" s="307"/>
      <c r="J42" s="307"/>
      <c r="K42" s="307"/>
      <c r="L42" s="307"/>
      <c r="M42" s="307"/>
      <c r="N42" s="307"/>
      <c r="O42" s="307"/>
      <c r="P42" s="307">
        <v>5</v>
      </c>
      <c r="Q42" s="307">
        <f t="shared" si="28"/>
        <v>80</v>
      </c>
      <c r="R42" s="307"/>
      <c r="S42" s="307"/>
      <c r="T42" s="285">
        <f t="shared" si="25"/>
        <v>5</v>
      </c>
      <c r="U42" s="286">
        <f t="shared" si="25"/>
        <v>80</v>
      </c>
    </row>
    <row r="43" spans="2:21" ht="18" thickBot="1">
      <c r="B43" s="940"/>
      <c r="C43" s="943"/>
      <c r="D43" s="937" t="s">
        <v>16</v>
      </c>
      <c r="E43" s="937"/>
      <c r="F43" s="274"/>
      <c r="G43" s="274"/>
      <c r="H43" s="315"/>
      <c r="I43" s="315"/>
      <c r="J43" s="315"/>
      <c r="K43" s="315"/>
      <c r="L43" s="315"/>
      <c r="M43" s="315"/>
      <c r="N43" s="315">
        <f t="shared" ref="N43:U43" si="29">SUM(N39:N42)</f>
        <v>3</v>
      </c>
      <c r="O43" s="315">
        <f t="shared" si="29"/>
        <v>48</v>
      </c>
      <c r="P43" s="315">
        <f t="shared" si="29"/>
        <v>10</v>
      </c>
      <c r="Q43" s="315">
        <f t="shared" si="29"/>
        <v>160</v>
      </c>
      <c r="R43" s="315">
        <f t="shared" si="29"/>
        <v>0</v>
      </c>
      <c r="S43" s="315">
        <f t="shared" si="29"/>
        <v>0</v>
      </c>
      <c r="T43" s="296">
        <f t="shared" si="29"/>
        <v>13</v>
      </c>
      <c r="U43" s="297">
        <f t="shared" si="29"/>
        <v>208</v>
      </c>
    </row>
    <row r="44" spans="2:21">
      <c r="B44" s="944" t="s">
        <v>675</v>
      </c>
      <c r="C44" s="1002">
        <f>T48</f>
        <v>18</v>
      </c>
      <c r="D44" s="219" t="s">
        <v>676</v>
      </c>
      <c r="E44" s="219" t="s">
        <v>677</v>
      </c>
      <c r="F44" s="219">
        <v>30</v>
      </c>
      <c r="G44" s="230">
        <v>2</v>
      </c>
      <c r="H44" s="321"/>
      <c r="I44" s="322"/>
      <c r="J44" s="322"/>
      <c r="K44" s="322"/>
      <c r="L44" s="322"/>
      <c r="M44" s="322"/>
      <c r="N44" s="322"/>
      <c r="O44" s="322"/>
      <c r="P44" s="322">
        <v>3</v>
      </c>
      <c r="Q44" s="322">
        <v>48</v>
      </c>
      <c r="R44" s="322"/>
      <c r="S44" s="322"/>
      <c r="T44" s="302">
        <f t="shared" ref="T44:U44" si="30">SUM(H44,J44,L44,N44,P44,R44)</f>
        <v>3</v>
      </c>
      <c r="U44" s="303">
        <f t="shared" si="30"/>
        <v>48</v>
      </c>
    </row>
    <row r="45" spans="2:21">
      <c r="B45" s="945"/>
      <c r="C45" s="1003"/>
      <c r="D45" s="277" t="s">
        <v>678</v>
      </c>
      <c r="E45" s="277" t="s">
        <v>679</v>
      </c>
      <c r="F45" s="277">
        <v>40</v>
      </c>
      <c r="G45" s="278">
        <v>3</v>
      </c>
      <c r="H45" s="279"/>
      <c r="I45" s="280"/>
      <c r="J45" s="280"/>
      <c r="K45" s="280"/>
      <c r="L45" s="280"/>
      <c r="M45" s="280"/>
      <c r="N45" s="280"/>
      <c r="O45" s="280"/>
      <c r="P45" s="280">
        <v>4</v>
      </c>
      <c r="Q45" s="280">
        <v>64</v>
      </c>
      <c r="R45" s="280"/>
      <c r="S45" s="280"/>
      <c r="T45" s="281">
        <v>4</v>
      </c>
      <c r="U45" s="282">
        <v>64</v>
      </c>
    </row>
    <row r="46" spans="2:21">
      <c r="B46" s="945"/>
      <c r="C46" s="1003"/>
      <c r="D46" s="323" t="s">
        <v>680</v>
      </c>
      <c r="E46" s="323" t="s">
        <v>681</v>
      </c>
      <c r="F46" s="323">
        <v>40</v>
      </c>
      <c r="G46" s="323">
        <v>4</v>
      </c>
      <c r="H46" s="324"/>
      <c r="I46" s="280"/>
      <c r="J46" s="280"/>
      <c r="K46" s="280"/>
      <c r="L46" s="280"/>
      <c r="M46" s="280"/>
      <c r="N46" s="280"/>
      <c r="O46" s="280"/>
      <c r="P46" s="280"/>
      <c r="Q46" s="280"/>
      <c r="R46" s="280">
        <v>6</v>
      </c>
      <c r="S46" s="280">
        <f>R46*16</f>
        <v>96</v>
      </c>
      <c r="T46" s="281">
        <v>6</v>
      </c>
      <c r="U46" s="282">
        <v>96</v>
      </c>
    </row>
    <row r="47" spans="2:21">
      <c r="B47" s="945"/>
      <c r="C47" s="1003"/>
      <c r="D47" s="262" t="s">
        <v>682</v>
      </c>
      <c r="E47" s="262" t="s">
        <v>683</v>
      </c>
      <c r="F47" s="262">
        <v>50</v>
      </c>
      <c r="G47" s="262">
        <v>3</v>
      </c>
      <c r="H47" s="327"/>
      <c r="I47" s="284"/>
      <c r="J47" s="284"/>
      <c r="K47" s="284"/>
      <c r="L47" s="284"/>
      <c r="M47" s="284"/>
      <c r="N47" s="284"/>
      <c r="O47" s="284"/>
      <c r="P47" s="284"/>
      <c r="Q47" s="284"/>
      <c r="R47" s="284">
        <v>5</v>
      </c>
      <c r="S47" s="280">
        <f>R47*16</f>
        <v>80</v>
      </c>
      <c r="T47" s="285">
        <v>5</v>
      </c>
      <c r="U47" s="286">
        <f t="shared" ref="U47" si="31">SUM(I47,K47,M47,O47,Q47,S47)</f>
        <v>80</v>
      </c>
    </row>
    <row r="48" spans="2:21" ht="18" thickBot="1">
      <c r="B48" s="946"/>
      <c r="C48" s="1004"/>
      <c r="D48" s="980" t="s">
        <v>16</v>
      </c>
      <c r="E48" s="980"/>
      <c r="F48" s="266"/>
      <c r="G48" s="266"/>
      <c r="H48" s="295"/>
      <c r="I48" s="295"/>
      <c r="J48" s="295"/>
      <c r="K48" s="295"/>
      <c r="L48" s="295"/>
      <c r="M48" s="295"/>
      <c r="N48" s="295"/>
      <c r="O48" s="295"/>
      <c r="P48" s="295">
        <v>7</v>
      </c>
      <c r="Q48" s="295">
        <f>SUM(Q44:Q47)</f>
        <v>112</v>
      </c>
      <c r="R48" s="295">
        <v>11</v>
      </c>
      <c r="S48" s="295">
        <f>SUM(S44:S47)</f>
        <v>176</v>
      </c>
      <c r="T48" s="296">
        <f>SUM(T44:T47)</f>
        <v>18</v>
      </c>
      <c r="U48" s="297">
        <f>SUM(U44:U47)</f>
        <v>288</v>
      </c>
    </row>
    <row r="49" spans="2:21">
      <c r="B49" s="944" t="s">
        <v>684</v>
      </c>
      <c r="C49" s="1002">
        <f>T53</f>
        <v>15</v>
      </c>
      <c r="D49" s="323" t="s">
        <v>685</v>
      </c>
      <c r="E49" s="323" t="s">
        <v>686</v>
      </c>
      <c r="F49" s="323">
        <v>40</v>
      </c>
      <c r="G49" s="323">
        <v>3</v>
      </c>
      <c r="H49" s="324"/>
      <c r="I49" s="280"/>
      <c r="J49" s="280"/>
      <c r="K49" s="280"/>
      <c r="L49" s="280"/>
      <c r="M49" s="280"/>
      <c r="N49" s="280"/>
      <c r="O49" s="280"/>
      <c r="P49" s="280">
        <v>4</v>
      </c>
      <c r="Q49" s="280">
        <v>64</v>
      </c>
      <c r="R49" s="280"/>
      <c r="S49" s="280"/>
      <c r="T49" s="281">
        <f t="shared" ref="T49:U50" si="32">SUM(H49,J49,L49,N49,P49,R49)</f>
        <v>4</v>
      </c>
      <c r="U49" s="282">
        <f t="shared" si="32"/>
        <v>64</v>
      </c>
    </row>
    <row r="50" spans="2:21">
      <c r="B50" s="945"/>
      <c r="C50" s="1003"/>
      <c r="D50" s="262" t="s">
        <v>687</v>
      </c>
      <c r="E50" s="262" t="s">
        <v>688</v>
      </c>
      <c r="F50" s="262">
        <v>40</v>
      </c>
      <c r="G50" s="262">
        <v>3</v>
      </c>
      <c r="H50" s="327"/>
      <c r="I50" s="284"/>
      <c r="J50" s="284"/>
      <c r="K50" s="284"/>
      <c r="L50" s="284"/>
      <c r="M50" s="284"/>
      <c r="N50" s="284"/>
      <c r="O50" s="284"/>
      <c r="P50" s="284">
        <v>4</v>
      </c>
      <c r="Q50" s="284">
        <v>64</v>
      </c>
      <c r="R50" s="284"/>
      <c r="S50" s="284"/>
      <c r="T50" s="285">
        <f t="shared" si="32"/>
        <v>4</v>
      </c>
      <c r="U50" s="286">
        <f t="shared" si="32"/>
        <v>64</v>
      </c>
    </row>
    <row r="51" spans="2:21">
      <c r="B51" s="945"/>
      <c r="C51" s="1003"/>
      <c r="D51" s="323" t="s">
        <v>689</v>
      </c>
      <c r="E51" s="323" t="s">
        <v>690</v>
      </c>
      <c r="F51" s="323">
        <v>40</v>
      </c>
      <c r="G51" s="323">
        <v>3</v>
      </c>
      <c r="H51" s="324"/>
      <c r="I51" s="280"/>
      <c r="J51" s="280"/>
      <c r="K51" s="280"/>
      <c r="L51" s="280"/>
      <c r="M51" s="280"/>
      <c r="N51" s="280"/>
      <c r="O51" s="280"/>
      <c r="P51" s="280"/>
      <c r="Q51" s="280"/>
      <c r="R51" s="280">
        <v>3</v>
      </c>
      <c r="S51" s="280">
        <f>R51*16</f>
        <v>48</v>
      </c>
      <c r="T51" s="281">
        <v>3</v>
      </c>
      <c r="U51" s="282">
        <v>48</v>
      </c>
    </row>
    <row r="52" spans="2:21">
      <c r="B52" s="945"/>
      <c r="C52" s="1003"/>
      <c r="D52" s="262" t="s">
        <v>691</v>
      </c>
      <c r="E52" s="262" t="s">
        <v>692</v>
      </c>
      <c r="F52" s="262">
        <v>40</v>
      </c>
      <c r="G52" s="262">
        <v>3</v>
      </c>
      <c r="H52" s="327"/>
      <c r="I52" s="284"/>
      <c r="J52" s="284"/>
      <c r="K52" s="284"/>
      <c r="L52" s="284"/>
      <c r="M52" s="284"/>
      <c r="N52" s="284"/>
      <c r="O52" s="284"/>
      <c r="P52" s="284"/>
      <c r="Q52" s="284"/>
      <c r="R52" s="284">
        <v>4</v>
      </c>
      <c r="S52" s="280">
        <f>R52*16</f>
        <v>64</v>
      </c>
      <c r="T52" s="285">
        <f t="shared" ref="T52" si="33">SUM(H52,J52,L52,N52,P52,R52)</f>
        <v>4</v>
      </c>
      <c r="U52" s="286">
        <v>64</v>
      </c>
    </row>
    <row r="53" spans="2:21" ht="18" thickBot="1">
      <c r="B53" s="946"/>
      <c r="C53" s="1004"/>
      <c r="D53" s="980" t="s">
        <v>16</v>
      </c>
      <c r="E53" s="980"/>
      <c r="F53" s="266"/>
      <c r="G53" s="266"/>
      <c r="H53" s="295"/>
      <c r="I53" s="295"/>
      <c r="J53" s="295"/>
      <c r="K53" s="295"/>
      <c r="L53" s="295"/>
      <c r="M53" s="295"/>
      <c r="N53" s="295"/>
      <c r="O53" s="295"/>
      <c r="P53" s="295">
        <v>8</v>
      </c>
      <c r="Q53" s="295">
        <f>SUM(Q49:Q52)</f>
        <v>128</v>
      </c>
      <c r="R53" s="295">
        <v>7</v>
      </c>
      <c r="S53" s="295">
        <f>SUM(S49:S52)</f>
        <v>112</v>
      </c>
      <c r="T53" s="296">
        <f>SUM(T49:T52)</f>
        <v>15</v>
      </c>
      <c r="U53" s="297">
        <f>SUM(U49:U52)</f>
        <v>240</v>
      </c>
    </row>
    <row r="54" spans="2:21">
      <c r="B54" s="1005" t="s">
        <v>693</v>
      </c>
      <c r="C54" s="1008">
        <f>T59</f>
        <v>10</v>
      </c>
      <c r="D54" s="271" t="s">
        <v>694</v>
      </c>
      <c r="E54" s="271" t="s">
        <v>695</v>
      </c>
      <c r="F54" s="271">
        <v>20</v>
      </c>
      <c r="G54" s="271">
        <v>2</v>
      </c>
      <c r="H54" s="272"/>
      <c r="I54" s="220"/>
      <c r="J54" s="220">
        <v>1</v>
      </c>
      <c r="K54" s="220">
        <f>J54*16</f>
        <v>16</v>
      </c>
      <c r="L54" s="220"/>
      <c r="M54" s="220">
        <f>L54*16</f>
        <v>0</v>
      </c>
      <c r="N54" s="220"/>
      <c r="O54" s="220"/>
      <c r="P54" s="220"/>
      <c r="Q54" s="220"/>
      <c r="R54" s="220"/>
      <c r="S54" s="220"/>
      <c r="T54" s="251">
        <f>SUM(H54,J54,L54,N54,P54,R54)</f>
        <v>1</v>
      </c>
      <c r="U54" s="252">
        <f>T54*16</f>
        <v>16</v>
      </c>
    </row>
    <row r="55" spans="2:21">
      <c r="B55" s="1006"/>
      <c r="C55" s="1009"/>
      <c r="D55" s="323" t="s">
        <v>696</v>
      </c>
      <c r="E55" s="323" t="s">
        <v>697</v>
      </c>
      <c r="F55" s="323">
        <v>30</v>
      </c>
      <c r="G55" s="323">
        <v>2</v>
      </c>
      <c r="H55" s="329"/>
      <c r="I55" s="330"/>
      <c r="J55" s="330">
        <v>1</v>
      </c>
      <c r="K55" s="330">
        <v>16</v>
      </c>
      <c r="L55" s="330"/>
      <c r="M55" s="330"/>
      <c r="N55" s="330"/>
      <c r="O55" s="330"/>
      <c r="P55" s="330"/>
      <c r="Q55" s="330"/>
      <c r="R55" s="330"/>
      <c r="S55" s="330"/>
      <c r="T55" s="467">
        <v>1</v>
      </c>
      <c r="U55" s="468">
        <v>16</v>
      </c>
    </row>
    <row r="56" spans="2:21">
      <c r="B56" s="1006"/>
      <c r="C56" s="1009"/>
      <c r="D56" s="262" t="s">
        <v>698</v>
      </c>
      <c r="E56" s="262" t="s">
        <v>699</v>
      </c>
      <c r="F56" s="262">
        <v>60</v>
      </c>
      <c r="G56" s="262">
        <v>2</v>
      </c>
      <c r="H56" s="263"/>
      <c r="I56" s="224"/>
      <c r="J56" s="224">
        <v>2</v>
      </c>
      <c r="K56" s="224">
        <f t="shared" ref="K56:K58" si="34">J56*16</f>
        <v>32</v>
      </c>
      <c r="L56" s="224"/>
      <c r="M56" s="224">
        <f t="shared" ref="M56:M58" si="35">L56*16</f>
        <v>0</v>
      </c>
      <c r="N56" s="224"/>
      <c r="O56" s="224"/>
      <c r="P56" s="224"/>
      <c r="Q56" s="224"/>
      <c r="R56" s="224"/>
      <c r="S56" s="224"/>
      <c r="T56" s="259">
        <f t="shared" ref="T56:T58" si="36">SUM(H56,J56,L56,N56,P56,R56)</f>
        <v>2</v>
      </c>
      <c r="U56" s="260">
        <f t="shared" ref="U56:U58" si="37">T56*16</f>
        <v>32</v>
      </c>
    </row>
    <row r="57" spans="2:21">
      <c r="B57" s="1006"/>
      <c r="C57" s="1009"/>
      <c r="D57" s="262" t="s">
        <v>700</v>
      </c>
      <c r="E57" s="262" t="s">
        <v>701</v>
      </c>
      <c r="F57" s="262">
        <v>60</v>
      </c>
      <c r="G57" s="262">
        <v>2</v>
      </c>
      <c r="H57" s="263"/>
      <c r="I57" s="224"/>
      <c r="J57" s="224"/>
      <c r="K57" s="224">
        <f t="shared" si="34"/>
        <v>0</v>
      </c>
      <c r="L57" s="224">
        <v>3</v>
      </c>
      <c r="M57" s="224">
        <f t="shared" si="35"/>
        <v>48</v>
      </c>
      <c r="N57" s="224"/>
      <c r="O57" s="224"/>
      <c r="P57" s="224"/>
      <c r="Q57" s="224"/>
      <c r="R57" s="224"/>
      <c r="S57" s="224"/>
      <c r="T57" s="259">
        <f t="shared" si="36"/>
        <v>3</v>
      </c>
      <c r="U57" s="260">
        <f t="shared" si="37"/>
        <v>48</v>
      </c>
    </row>
    <row r="58" spans="2:21">
      <c r="B58" s="1006"/>
      <c r="C58" s="1009"/>
      <c r="D58" s="331" t="s">
        <v>702</v>
      </c>
      <c r="E58" s="262" t="s">
        <v>703</v>
      </c>
      <c r="F58" s="262">
        <v>30</v>
      </c>
      <c r="G58" s="262">
        <v>3</v>
      </c>
      <c r="H58" s="263"/>
      <c r="I58" s="224"/>
      <c r="J58" s="224"/>
      <c r="K58" s="224">
        <f t="shared" si="34"/>
        <v>0</v>
      </c>
      <c r="L58" s="227">
        <v>3</v>
      </c>
      <c r="M58" s="227">
        <f t="shared" si="35"/>
        <v>48</v>
      </c>
      <c r="N58" s="224"/>
      <c r="O58" s="224"/>
      <c r="P58" s="224"/>
      <c r="Q58" s="224"/>
      <c r="R58" s="224"/>
      <c r="S58" s="224"/>
      <c r="T58" s="259">
        <f t="shared" si="36"/>
        <v>3</v>
      </c>
      <c r="U58" s="260">
        <f t="shared" si="37"/>
        <v>48</v>
      </c>
    </row>
    <row r="59" spans="2:21" ht="18" thickBot="1">
      <c r="B59" s="1007"/>
      <c r="C59" s="1010"/>
      <c r="D59" s="1011" t="s">
        <v>16</v>
      </c>
      <c r="E59" s="1012"/>
      <c r="F59" s="266"/>
      <c r="G59" s="266"/>
      <c r="H59" s="267"/>
      <c r="I59" s="267"/>
      <c r="J59" s="267">
        <f>SUM(J54:J58)</f>
        <v>4</v>
      </c>
      <c r="K59" s="267">
        <f>SUM(K54:K58)</f>
        <v>64</v>
      </c>
      <c r="L59" s="267">
        <f>SUM(L54:L58)</f>
        <v>6</v>
      </c>
      <c r="M59" s="267">
        <f>SUM(M54:M58)</f>
        <v>96</v>
      </c>
      <c r="N59" s="267"/>
      <c r="O59" s="267"/>
      <c r="P59" s="267"/>
      <c r="Q59" s="267"/>
      <c r="R59" s="267"/>
      <c r="S59" s="267"/>
      <c r="T59" s="268">
        <f>SUM(T54:T58)</f>
        <v>10</v>
      </c>
      <c r="U59" s="269">
        <f>SUM(U54:U58)</f>
        <v>160</v>
      </c>
    </row>
    <row r="60" spans="2:21">
      <c r="B60" s="1013" t="s">
        <v>704</v>
      </c>
      <c r="C60" s="1016">
        <f>T64</f>
        <v>10</v>
      </c>
      <c r="D60" s="261" t="s">
        <v>705</v>
      </c>
      <c r="E60" s="262" t="s">
        <v>706</v>
      </c>
      <c r="F60" s="262">
        <v>30</v>
      </c>
      <c r="G60" s="262">
        <v>2</v>
      </c>
      <c r="H60" s="264"/>
      <c r="I60" s="224"/>
      <c r="J60" s="224">
        <v>2</v>
      </c>
      <c r="K60" s="332">
        <v>32</v>
      </c>
      <c r="L60" s="256"/>
      <c r="M60" s="256"/>
      <c r="N60" s="273"/>
      <c r="O60" s="220"/>
      <c r="P60" s="273"/>
      <c r="Q60" s="220"/>
      <c r="R60" s="220"/>
      <c r="S60" s="220"/>
      <c r="T60" s="251">
        <f>SUM(H60,J60,L60,N60,P60,R60)</f>
        <v>2</v>
      </c>
      <c r="U60" s="252">
        <f>T60*16</f>
        <v>32</v>
      </c>
    </row>
    <row r="61" spans="2:21">
      <c r="B61" s="1014"/>
      <c r="C61" s="1017"/>
      <c r="D61" s="261" t="s">
        <v>707</v>
      </c>
      <c r="E61" s="262" t="s">
        <v>708</v>
      </c>
      <c r="F61" s="262">
        <v>30</v>
      </c>
      <c r="G61" s="262">
        <v>4</v>
      </c>
      <c r="H61" s="264"/>
      <c r="I61" s="224"/>
      <c r="J61" s="224">
        <v>3</v>
      </c>
      <c r="K61" s="224">
        <v>48</v>
      </c>
      <c r="L61" s="256"/>
      <c r="M61" s="256"/>
      <c r="N61" s="256"/>
      <c r="O61" s="224"/>
      <c r="P61" s="256"/>
      <c r="Q61" s="224"/>
      <c r="R61" s="224"/>
      <c r="S61" s="224"/>
      <c r="T61" s="259">
        <f>SUM(H61,J61,L61,N61,P61,R61)</f>
        <v>3</v>
      </c>
      <c r="U61" s="260">
        <f>T61*16</f>
        <v>48</v>
      </c>
    </row>
    <row r="62" spans="2:21">
      <c r="B62" s="1014"/>
      <c r="C62" s="1017"/>
      <c r="D62" s="265" t="s">
        <v>709</v>
      </c>
      <c r="E62" s="262" t="s">
        <v>710</v>
      </c>
      <c r="F62" s="262">
        <v>40</v>
      </c>
      <c r="G62" s="262">
        <v>3</v>
      </c>
      <c r="H62" s="264"/>
      <c r="I62" s="224"/>
      <c r="J62" s="224"/>
      <c r="K62" s="224"/>
      <c r="L62" s="227">
        <v>2</v>
      </c>
      <c r="M62" s="227">
        <v>32</v>
      </c>
      <c r="N62" s="256"/>
      <c r="O62" s="224"/>
      <c r="P62" s="256"/>
      <c r="Q62" s="224"/>
      <c r="R62" s="224"/>
      <c r="S62" s="224"/>
      <c r="T62" s="259">
        <f t="shared" ref="T62:T63" si="38">SUM(H62,J62,L62,N62,P62,R62)</f>
        <v>2</v>
      </c>
      <c r="U62" s="260">
        <f t="shared" ref="U62:U63" si="39">T62*16</f>
        <v>32</v>
      </c>
    </row>
    <row r="63" spans="2:21">
      <c r="B63" s="1015"/>
      <c r="C63" s="1018"/>
      <c r="D63" s="333" t="s">
        <v>711</v>
      </c>
      <c r="E63" s="334" t="s">
        <v>712</v>
      </c>
      <c r="F63" s="334">
        <v>20</v>
      </c>
      <c r="G63" s="334">
        <v>3</v>
      </c>
      <c r="H63" s="335"/>
      <c r="I63" s="336"/>
      <c r="J63" s="336"/>
      <c r="K63" s="336"/>
      <c r="L63" s="337">
        <v>3</v>
      </c>
      <c r="M63" s="337">
        <v>48</v>
      </c>
      <c r="N63" s="338"/>
      <c r="O63" s="224">
        <f t="shared" ref="O63" si="40">N63*16</f>
        <v>0</v>
      </c>
      <c r="P63" s="338"/>
      <c r="Q63" s="336"/>
      <c r="R63" s="336"/>
      <c r="S63" s="336"/>
      <c r="T63" s="259">
        <f t="shared" si="38"/>
        <v>3</v>
      </c>
      <c r="U63" s="260">
        <f t="shared" si="39"/>
        <v>48</v>
      </c>
    </row>
    <row r="64" spans="2:21" ht="18" thickBot="1">
      <c r="B64" s="1015"/>
      <c r="C64" s="1018"/>
      <c r="D64" s="1019" t="s">
        <v>16</v>
      </c>
      <c r="E64" s="1019"/>
      <c r="F64" s="339"/>
      <c r="G64" s="339"/>
      <c r="H64" s="340"/>
      <c r="I64" s="340"/>
      <c r="J64" s="340">
        <f>SUM(J60:J63)</f>
        <v>5</v>
      </c>
      <c r="K64" s="340">
        <f t="shared" ref="K64:M64" si="41">SUM(K60:K63)</f>
        <v>80</v>
      </c>
      <c r="L64" s="340">
        <f t="shared" si="41"/>
        <v>5</v>
      </c>
      <c r="M64" s="340">
        <f t="shared" si="41"/>
        <v>80</v>
      </c>
      <c r="N64" s="340">
        <f>SUM(N60:N63)</f>
        <v>0</v>
      </c>
      <c r="O64" s="340">
        <f>SUM(O60:O63)</f>
        <v>0</v>
      </c>
      <c r="P64" s="340">
        <f>SUM(P60:P62)</f>
        <v>0</v>
      </c>
      <c r="Q64" s="340">
        <f>SUM(Q60:Q62)</f>
        <v>0</v>
      </c>
      <c r="R64" s="340">
        <f>SUM(R60:R62)</f>
        <v>0</v>
      </c>
      <c r="S64" s="340">
        <f>SUM(S60:S62)</f>
        <v>0</v>
      </c>
      <c r="T64" s="341">
        <f>SUM(T60:T63)</f>
        <v>10</v>
      </c>
      <c r="U64" s="342">
        <f>SUM(U60:U63)</f>
        <v>160</v>
      </c>
    </row>
    <row r="65" spans="2:21">
      <c r="B65" s="1020" t="s">
        <v>713</v>
      </c>
      <c r="C65" s="1023">
        <f>T69</f>
        <v>18</v>
      </c>
      <c r="D65" s="343" t="s">
        <v>714</v>
      </c>
      <c r="E65" s="344" t="s">
        <v>715</v>
      </c>
      <c r="F65" s="344">
        <v>50</v>
      </c>
      <c r="G65" s="344">
        <v>2</v>
      </c>
      <c r="H65" s="220"/>
      <c r="I65" s="220"/>
      <c r="J65" s="220"/>
      <c r="K65" s="220"/>
      <c r="L65" s="220"/>
      <c r="M65" s="220"/>
      <c r="N65" s="249">
        <v>5</v>
      </c>
      <c r="O65" s="249">
        <v>80</v>
      </c>
      <c r="P65" s="220"/>
      <c r="Q65" s="220"/>
      <c r="R65" s="220"/>
      <c r="S65" s="220"/>
      <c r="T65" s="251">
        <f>SUM(H65,J65,L65,N65,P65,R65)</f>
        <v>5</v>
      </c>
      <c r="U65" s="252">
        <f>T65*16</f>
        <v>80</v>
      </c>
    </row>
    <row r="66" spans="2:21">
      <c r="B66" s="1021"/>
      <c r="C66" s="1024"/>
      <c r="D66" s="225" t="s">
        <v>716</v>
      </c>
      <c r="E66" s="221" t="s">
        <v>717</v>
      </c>
      <c r="F66" s="221">
        <v>40</v>
      </c>
      <c r="G66" s="221">
        <v>3</v>
      </c>
      <c r="H66" s="224"/>
      <c r="I66" s="224"/>
      <c r="J66" s="224"/>
      <c r="K66" s="224"/>
      <c r="L66" s="224"/>
      <c r="M66" s="224"/>
      <c r="N66" s="227">
        <v>3</v>
      </c>
      <c r="O66" s="227">
        <v>48</v>
      </c>
      <c r="P66" s="224"/>
      <c r="Q66" s="224"/>
      <c r="R66" s="224"/>
      <c r="S66" s="224"/>
      <c r="T66" s="259">
        <f t="shared" ref="T66:T68" si="42">SUM(H66,J66,L66,N66,P66,R66)</f>
        <v>3</v>
      </c>
      <c r="U66" s="260">
        <f t="shared" ref="U66:U68" si="43">T66*16</f>
        <v>48</v>
      </c>
    </row>
    <row r="67" spans="2:21">
      <c r="B67" s="1021"/>
      <c r="C67" s="1024"/>
      <c r="D67" s="221" t="s">
        <v>718</v>
      </c>
      <c r="E67" s="262" t="s">
        <v>719</v>
      </c>
      <c r="F67" s="221">
        <v>30</v>
      </c>
      <c r="G67" s="221">
        <v>3</v>
      </c>
      <c r="H67" s="224"/>
      <c r="I67" s="224"/>
      <c r="J67" s="224"/>
      <c r="K67" s="224"/>
      <c r="L67" s="224"/>
      <c r="M67" s="224"/>
      <c r="N67" s="224"/>
      <c r="O67" s="224"/>
      <c r="P67" s="224">
        <v>5</v>
      </c>
      <c r="Q67" s="224">
        <v>80</v>
      </c>
      <c r="R67" s="224"/>
      <c r="S67" s="224"/>
      <c r="T67" s="259">
        <f t="shared" si="42"/>
        <v>5</v>
      </c>
      <c r="U67" s="260">
        <f t="shared" si="43"/>
        <v>80</v>
      </c>
    </row>
    <row r="68" spans="2:21">
      <c r="B68" s="1021"/>
      <c r="C68" s="1024"/>
      <c r="D68" s="221" t="s">
        <v>720</v>
      </c>
      <c r="E68" s="222" t="s">
        <v>721</v>
      </c>
      <c r="F68" s="221">
        <v>60</v>
      </c>
      <c r="G68" s="221">
        <v>4</v>
      </c>
      <c r="H68" s="224"/>
      <c r="I68" s="224"/>
      <c r="J68" s="224"/>
      <c r="K68" s="224"/>
      <c r="L68" s="224"/>
      <c r="M68" s="224"/>
      <c r="N68" s="224"/>
      <c r="O68" s="224"/>
      <c r="P68" s="224">
        <v>5</v>
      </c>
      <c r="Q68" s="224">
        <v>80</v>
      </c>
      <c r="R68" s="224"/>
      <c r="S68" s="224"/>
      <c r="T68" s="259">
        <f t="shared" si="42"/>
        <v>5</v>
      </c>
      <c r="U68" s="260">
        <f t="shared" si="43"/>
        <v>80</v>
      </c>
    </row>
    <row r="69" spans="2:21" ht="18" thickBot="1">
      <c r="B69" s="1022"/>
      <c r="C69" s="1025"/>
      <c r="D69" s="1026" t="s">
        <v>16</v>
      </c>
      <c r="E69" s="1027"/>
      <c r="F69" s="266"/>
      <c r="G69" s="266"/>
      <c r="H69" s="267"/>
      <c r="I69" s="267"/>
      <c r="J69" s="267"/>
      <c r="K69" s="267"/>
      <c r="L69" s="267"/>
      <c r="M69" s="267"/>
      <c r="N69" s="267">
        <f>SUM(N65:N68)</f>
        <v>8</v>
      </c>
      <c r="O69" s="267">
        <f t="shared" ref="O69:P69" si="44">SUM(O65:O68)</f>
        <v>128</v>
      </c>
      <c r="P69" s="267">
        <f t="shared" si="44"/>
        <v>10</v>
      </c>
      <c r="Q69" s="267">
        <f>SUM(Q65:Q68)</f>
        <v>160</v>
      </c>
      <c r="R69" s="267">
        <f>SUM(R65:R67)</f>
        <v>0</v>
      </c>
      <c r="S69" s="267">
        <f>SUM(S65:S67)</f>
        <v>0</v>
      </c>
      <c r="T69" s="268">
        <f>SUM(T65:T68)</f>
        <v>18</v>
      </c>
      <c r="U69" s="269">
        <f>SUM(U65:U68)</f>
        <v>288</v>
      </c>
    </row>
    <row r="70" spans="2:21">
      <c r="B70" s="1013" t="s">
        <v>722</v>
      </c>
      <c r="C70" s="1016">
        <f>T74</f>
        <v>18</v>
      </c>
      <c r="D70" s="345" t="s">
        <v>723</v>
      </c>
      <c r="E70" s="346" t="s">
        <v>724</v>
      </c>
      <c r="F70" s="346" t="s">
        <v>725</v>
      </c>
      <c r="G70" s="346" t="s">
        <v>726</v>
      </c>
      <c r="H70" s="347"/>
      <c r="I70" s="220"/>
      <c r="J70" s="220"/>
      <c r="K70" s="220"/>
      <c r="L70" s="273"/>
      <c r="M70" s="273"/>
      <c r="N70" s="273"/>
      <c r="O70" s="273"/>
      <c r="P70" s="220">
        <v>2</v>
      </c>
      <c r="Q70" s="220">
        <f>P70*16</f>
        <v>32</v>
      </c>
      <c r="R70" s="220"/>
      <c r="S70" s="220">
        <f>R70*16</f>
        <v>0</v>
      </c>
      <c r="T70" s="251">
        <f>SUM(H70,J70,L70,N70,P70,R70)</f>
        <v>2</v>
      </c>
      <c r="U70" s="252">
        <f>T70*16</f>
        <v>32</v>
      </c>
    </row>
    <row r="71" spans="2:21">
      <c r="B71" s="1014"/>
      <c r="C71" s="1017"/>
      <c r="D71" s="348" t="s">
        <v>727</v>
      </c>
      <c r="E71" s="349" t="s">
        <v>728</v>
      </c>
      <c r="F71" s="349" t="s">
        <v>729</v>
      </c>
      <c r="G71" s="349" t="s">
        <v>726</v>
      </c>
      <c r="H71" s="350"/>
      <c r="I71" s="224"/>
      <c r="J71" s="224"/>
      <c r="K71" s="224"/>
      <c r="L71" s="256"/>
      <c r="M71" s="256"/>
      <c r="N71" s="256"/>
      <c r="O71" s="256"/>
      <c r="P71" s="224">
        <v>5</v>
      </c>
      <c r="Q71" s="224">
        <f t="shared" ref="Q71:Q73" si="45">P71*16</f>
        <v>80</v>
      </c>
      <c r="R71" s="224"/>
      <c r="S71" s="224">
        <f t="shared" ref="S71:S73" si="46">R71*16</f>
        <v>0</v>
      </c>
      <c r="T71" s="259">
        <f t="shared" ref="T71:T73" si="47">SUM(H71,J71,L71,N71,P71,R71)</f>
        <v>5</v>
      </c>
      <c r="U71" s="260">
        <f t="shared" ref="U71:U73" si="48">T71*16</f>
        <v>80</v>
      </c>
    </row>
    <row r="72" spans="2:21">
      <c r="B72" s="1014"/>
      <c r="C72" s="1017"/>
      <c r="D72" s="351" t="s">
        <v>730</v>
      </c>
      <c r="E72" s="352" t="s">
        <v>731</v>
      </c>
      <c r="F72" s="349" t="s">
        <v>725</v>
      </c>
      <c r="G72" s="349" t="s">
        <v>732</v>
      </c>
      <c r="H72" s="350"/>
      <c r="I72" s="224"/>
      <c r="J72" s="224"/>
      <c r="K72" s="224"/>
      <c r="L72" s="255"/>
      <c r="M72" s="256"/>
      <c r="N72" s="256"/>
      <c r="O72" s="256"/>
      <c r="P72" s="224"/>
      <c r="Q72" s="224">
        <f t="shared" si="45"/>
        <v>0</v>
      </c>
      <c r="R72" s="224">
        <v>5</v>
      </c>
      <c r="S72" s="224">
        <f t="shared" si="46"/>
        <v>80</v>
      </c>
      <c r="T72" s="259">
        <f t="shared" si="47"/>
        <v>5</v>
      </c>
      <c r="U72" s="260">
        <f t="shared" si="48"/>
        <v>80</v>
      </c>
    </row>
    <row r="73" spans="2:21">
      <c r="B73" s="1014"/>
      <c r="C73" s="1017"/>
      <c r="D73" s="348" t="s">
        <v>733</v>
      </c>
      <c r="E73" s="349" t="s">
        <v>734</v>
      </c>
      <c r="F73" s="349" t="s">
        <v>735</v>
      </c>
      <c r="G73" s="349" t="s">
        <v>732</v>
      </c>
      <c r="H73" s="350"/>
      <c r="I73" s="224"/>
      <c r="J73" s="224"/>
      <c r="K73" s="224"/>
      <c r="L73" s="256"/>
      <c r="M73" s="256"/>
      <c r="N73" s="256"/>
      <c r="O73" s="256"/>
      <c r="P73" s="224"/>
      <c r="Q73" s="224">
        <f t="shared" si="45"/>
        <v>0</v>
      </c>
      <c r="R73" s="224">
        <v>6</v>
      </c>
      <c r="S73" s="224">
        <f t="shared" si="46"/>
        <v>96</v>
      </c>
      <c r="T73" s="259">
        <f t="shared" si="47"/>
        <v>6</v>
      </c>
      <c r="U73" s="260">
        <f t="shared" si="48"/>
        <v>96</v>
      </c>
    </row>
    <row r="74" spans="2:21" ht="18" thickBot="1">
      <c r="B74" s="1028"/>
      <c r="C74" s="1029"/>
      <c r="D74" s="992" t="s">
        <v>16</v>
      </c>
      <c r="E74" s="992"/>
      <c r="F74" s="266"/>
      <c r="G74" s="266"/>
      <c r="H74" s="267"/>
      <c r="I74" s="267"/>
      <c r="J74" s="267"/>
      <c r="K74" s="267"/>
      <c r="L74" s="267"/>
      <c r="M74" s="267"/>
      <c r="N74" s="267"/>
      <c r="O74" s="267"/>
      <c r="P74" s="267">
        <f>SUM(P70:P72)</f>
        <v>7</v>
      </c>
      <c r="Q74" s="267">
        <f>SUM(Q70:Q73)</f>
        <v>112</v>
      </c>
      <c r="R74" s="267">
        <f>SUM(R70:R73)</f>
        <v>11</v>
      </c>
      <c r="S74" s="267">
        <f>SUM(S70:S73)</f>
        <v>176</v>
      </c>
      <c r="T74" s="268">
        <f>SUM(T70:T73)</f>
        <v>18</v>
      </c>
      <c r="U74" s="269">
        <f>SUM(U70:U73)</f>
        <v>288</v>
      </c>
    </row>
    <row r="75" spans="2:21">
      <c r="B75" s="1013" t="s">
        <v>736</v>
      </c>
      <c r="C75" s="1016">
        <f>T79</f>
        <v>15</v>
      </c>
      <c r="D75" s="218" t="s">
        <v>737</v>
      </c>
      <c r="E75" s="271" t="s">
        <v>738</v>
      </c>
      <c r="F75" s="271">
        <v>20</v>
      </c>
      <c r="G75" s="218">
        <v>4</v>
      </c>
      <c r="H75" s="220"/>
      <c r="I75" s="220"/>
      <c r="J75" s="220"/>
      <c r="K75" s="220"/>
      <c r="L75" s="220"/>
      <c r="M75" s="220"/>
      <c r="N75" s="220"/>
      <c r="O75" s="220"/>
      <c r="P75" s="220">
        <v>2</v>
      </c>
      <c r="Q75" s="220">
        <f>P75*16</f>
        <v>32</v>
      </c>
      <c r="R75" s="220"/>
      <c r="S75" s="220">
        <f>R75*16</f>
        <v>0</v>
      </c>
      <c r="T75" s="251">
        <f>SUM(H75,J75,L75,N75,P75,R75)</f>
        <v>2</v>
      </c>
      <c r="U75" s="252">
        <f>T75*16</f>
        <v>32</v>
      </c>
    </row>
    <row r="76" spans="2:21">
      <c r="B76" s="1014"/>
      <c r="C76" s="1017"/>
      <c r="D76" s="226" t="s">
        <v>739</v>
      </c>
      <c r="E76" s="262" t="s">
        <v>740</v>
      </c>
      <c r="F76" s="262">
        <v>50</v>
      </c>
      <c r="G76" s="226">
        <v>3</v>
      </c>
      <c r="H76" s="224"/>
      <c r="I76" s="224"/>
      <c r="J76" s="224"/>
      <c r="K76" s="224"/>
      <c r="L76" s="224"/>
      <c r="M76" s="224"/>
      <c r="N76" s="224"/>
      <c r="O76" s="224"/>
      <c r="P76" s="224">
        <v>6</v>
      </c>
      <c r="Q76" s="224">
        <f t="shared" ref="Q76:Q78" si="49">P76*16</f>
        <v>96</v>
      </c>
      <c r="R76" s="224"/>
      <c r="S76" s="224">
        <f t="shared" ref="S76:S78" si="50">R76*16</f>
        <v>0</v>
      </c>
      <c r="T76" s="259">
        <f t="shared" ref="T76:T78" si="51">SUM(H76,J76,L76,N76,P76,R76)</f>
        <v>6</v>
      </c>
      <c r="U76" s="260">
        <f t="shared" ref="U76:U78" si="52">T76*16</f>
        <v>96</v>
      </c>
    </row>
    <row r="77" spans="2:21">
      <c r="B77" s="1014"/>
      <c r="C77" s="1017"/>
      <c r="D77" s="226" t="s">
        <v>741</v>
      </c>
      <c r="E77" s="262" t="s">
        <v>742</v>
      </c>
      <c r="F77" s="262">
        <v>70</v>
      </c>
      <c r="G77" s="226">
        <v>4</v>
      </c>
      <c r="H77" s="224"/>
      <c r="I77" s="224"/>
      <c r="J77" s="224"/>
      <c r="K77" s="224"/>
      <c r="L77" s="224"/>
      <c r="M77" s="224"/>
      <c r="N77" s="224"/>
      <c r="O77" s="224"/>
      <c r="P77" s="224"/>
      <c r="Q77" s="224">
        <f t="shared" si="49"/>
        <v>0</v>
      </c>
      <c r="R77" s="224">
        <v>5</v>
      </c>
      <c r="S77" s="224">
        <f t="shared" si="50"/>
        <v>80</v>
      </c>
      <c r="T77" s="259">
        <f t="shared" si="51"/>
        <v>5</v>
      </c>
      <c r="U77" s="260">
        <f t="shared" si="52"/>
        <v>80</v>
      </c>
    </row>
    <row r="78" spans="2:21">
      <c r="B78" s="1014"/>
      <c r="C78" s="1017"/>
      <c r="D78" s="226" t="s">
        <v>743</v>
      </c>
      <c r="E78" s="262" t="s">
        <v>744</v>
      </c>
      <c r="F78" s="262">
        <v>70</v>
      </c>
      <c r="G78" s="226">
        <v>3</v>
      </c>
      <c r="H78" s="224"/>
      <c r="I78" s="224"/>
      <c r="J78" s="224"/>
      <c r="K78" s="224"/>
      <c r="L78" s="224"/>
      <c r="M78" s="224"/>
      <c r="N78" s="224"/>
      <c r="O78" s="224"/>
      <c r="P78" s="224"/>
      <c r="Q78" s="224">
        <f t="shared" si="49"/>
        <v>0</v>
      </c>
      <c r="R78" s="224">
        <v>2</v>
      </c>
      <c r="S78" s="224">
        <f t="shared" si="50"/>
        <v>32</v>
      </c>
      <c r="T78" s="259">
        <f t="shared" si="51"/>
        <v>2</v>
      </c>
      <c r="U78" s="260">
        <f t="shared" si="52"/>
        <v>32</v>
      </c>
    </row>
    <row r="79" spans="2:21" ht="18" thickBot="1">
      <c r="B79" s="1028"/>
      <c r="C79" s="1029"/>
      <c r="D79" s="1011" t="s">
        <v>16</v>
      </c>
      <c r="E79" s="1012"/>
      <c r="F79" s="266"/>
      <c r="G79" s="266"/>
      <c r="H79" s="267"/>
      <c r="I79" s="267"/>
      <c r="J79" s="267"/>
      <c r="K79" s="267"/>
      <c r="L79" s="267"/>
      <c r="M79" s="267"/>
      <c r="N79" s="267"/>
      <c r="O79" s="267"/>
      <c r="P79" s="267">
        <f>SUM(P75:P77)</f>
        <v>8</v>
      </c>
      <c r="Q79" s="267">
        <f>SUM(Q75:Q78)</f>
        <v>128</v>
      </c>
      <c r="R79" s="267">
        <f>SUM(R75:R78)</f>
        <v>7</v>
      </c>
      <c r="S79" s="267">
        <f>SUM(S75:S78)</f>
        <v>112</v>
      </c>
      <c r="T79" s="268">
        <f>SUM(T75:T78)</f>
        <v>15</v>
      </c>
      <c r="U79" s="269">
        <f>SUM(U75:U78)</f>
        <v>240</v>
      </c>
    </row>
  </sheetData>
  <mergeCells count="69">
    <mergeCell ref="B70:B74"/>
    <mergeCell ref="C70:C74"/>
    <mergeCell ref="D74:E74"/>
    <mergeCell ref="B75:B79"/>
    <mergeCell ref="C75:C79"/>
    <mergeCell ref="D79:E79"/>
    <mergeCell ref="B60:B64"/>
    <mergeCell ref="C60:C64"/>
    <mergeCell ref="D64:E64"/>
    <mergeCell ref="B65:B69"/>
    <mergeCell ref="C65:C69"/>
    <mergeCell ref="D69:E69"/>
    <mergeCell ref="B49:B53"/>
    <mergeCell ref="C49:C53"/>
    <mergeCell ref="D53:E53"/>
    <mergeCell ref="B54:B59"/>
    <mergeCell ref="C54:C59"/>
    <mergeCell ref="D59:E59"/>
    <mergeCell ref="B39:B43"/>
    <mergeCell ref="C39:C43"/>
    <mergeCell ref="D43:E43"/>
    <mergeCell ref="B44:B48"/>
    <mergeCell ref="C44:C48"/>
    <mergeCell ref="D48:E48"/>
    <mergeCell ref="B14:B20"/>
    <mergeCell ref="C14:C20"/>
    <mergeCell ref="D20:E20"/>
    <mergeCell ref="F6:F8"/>
    <mergeCell ref="R7:S7"/>
    <mergeCell ref="D13:E13"/>
    <mergeCell ref="B9:B13"/>
    <mergeCell ref="C9:C13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21:B23"/>
    <mergeCell ref="C21:C23"/>
    <mergeCell ref="D23:E23"/>
    <mergeCell ref="B24:B29"/>
    <mergeCell ref="C24:C29"/>
    <mergeCell ref="D29:E29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D38:E38"/>
    <mergeCell ref="B30:B34"/>
    <mergeCell ref="C30:C34"/>
    <mergeCell ref="D34:E34"/>
    <mergeCell ref="B35:B38"/>
    <mergeCell ref="C35:C38"/>
  </mergeCells>
  <phoneticPr fontId="9" type="noConversion"/>
  <pageMargins left="0.70866141732283472" right="0.70866141732283472" top="0.74803149606299213" bottom="0.74803149606299213" header="0.31496062992125984" footer="0.31496062992125984"/>
  <pageSetup paperSize="12" scale="31" orientation="portrait" cellComments="asDisplayed" r:id="rId1"/>
  <ignoredErrors>
    <ignoredError sqref="T13 T20:T22 T23:U23 T29 T34:U34 T38:U38 T43:U43 U48 T53 T59:U59 T64:U64 T69:U69 T70:T73 U74 T75:T78 U20 M13 Q74:T74" formula="1"/>
    <ignoredError sqref="F70:G72 F73:G73 F30:F32" numberStoredAsText="1"/>
    <ignoredError sqref="L34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C1D0-5221-4771-8088-68CA0AC47F4A}">
  <sheetPr>
    <pageSetUpPr fitToPage="1"/>
  </sheetPr>
  <dimension ref="B2:AG98"/>
  <sheetViews>
    <sheetView showGridLines="0" topLeftCell="A31" zoomScale="85" zoomScaleNormal="85" zoomScaleSheetLayoutView="70" workbookViewId="0">
      <selection activeCell="F46" sqref="F46"/>
    </sheetView>
  </sheetViews>
  <sheetFormatPr defaultRowHeight="17.399999999999999"/>
  <cols>
    <col min="1" max="1" width="3" customWidth="1"/>
    <col min="2" max="2" width="29.69921875" customWidth="1"/>
    <col min="3" max="3" width="5.59765625" customWidth="1"/>
    <col min="4" max="4" width="37.59765625" bestFit="1" customWidth="1"/>
    <col min="5" max="5" width="19" style="1" bestFit="1" customWidth="1"/>
    <col min="6" max="6" width="8.296875" style="1" customWidth="1"/>
    <col min="7" max="7" width="12.296875" style="1" customWidth="1"/>
    <col min="8" max="19" width="7.69921875" bestFit="1" customWidth="1"/>
    <col min="20" max="20" width="8.3984375" customWidth="1"/>
    <col min="21" max="21" width="8.8984375" customWidth="1"/>
  </cols>
  <sheetData>
    <row r="2" spans="2:33" ht="39.75" customHeight="1" thickBot="1">
      <c r="B2" s="988" t="s">
        <v>151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</row>
    <row r="3" spans="2:33" ht="27" customHeight="1"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040" t="s">
        <v>129</v>
      </c>
      <c r="O3" s="1041"/>
      <c r="P3" s="1041"/>
      <c r="Q3" s="1041" t="s">
        <v>127</v>
      </c>
      <c r="R3" s="1041"/>
      <c r="S3" s="1041"/>
      <c r="T3" s="1041" t="s">
        <v>130</v>
      </c>
      <c r="U3" s="1042"/>
    </row>
    <row r="4" spans="2:33" ht="27" customHeight="1" thickBot="1"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043" t="s">
        <v>507</v>
      </c>
      <c r="O4" s="1044"/>
      <c r="P4" s="1044"/>
      <c r="Q4" s="1045" t="s">
        <v>543</v>
      </c>
      <c r="R4" s="1045"/>
      <c r="S4" s="1045"/>
      <c r="T4" s="1045">
        <v>2027</v>
      </c>
      <c r="U4" s="1046"/>
    </row>
    <row r="5" spans="2:33" ht="24" customHeight="1" thickBot="1">
      <c r="B5" s="1030"/>
      <c r="C5" s="1030"/>
    </row>
    <row r="6" spans="2:33" ht="20.25" customHeight="1">
      <c r="B6" s="1031" t="s">
        <v>13</v>
      </c>
      <c r="C6" s="1034" t="s">
        <v>140</v>
      </c>
      <c r="D6" s="1037" t="s">
        <v>14</v>
      </c>
      <c r="E6" s="1037" t="s">
        <v>15</v>
      </c>
      <c r="F6" s="1054" t="s">
        <v>141</v>
      </c>
      <c r="G6" s="1054" t="s">
        <v>142</v>
      </c>
      <c r="H6" s="956" t="s">
        <v>58</v>
      </c>
      <c r="I6" s="956"/>
      <c r="J6" s="956"/>
      <c r="K6" s="956"/>
      <c r="L6" s="956" t="s">
        <v>59</v>
      </c>
      <c r="M6" s="956"/>
      <c r="N6" s="956"/>
      <c r="O6" s="956"/>
      <c r="P6" s="956" t="s">
        <v>60</v>
      </c>
      <c r="Q6" s="956"/>
      <c r="R6" s="956"/>
      <c r="S6" s="956"/>
      <c r="T6" s="964" t="s">
        <v>139</v>
      </c>
      <c r="U6" s="957" t="s">
        <v>126</v>
      </c>
      <c r="W6" s="960" t="s">
        <v>131</v>
      </c>
      <c r="X6" s="961"/>
      <c r="Y6" s="961"/>
      <c r="Z6" s="961"/>
      <c r="AA6" s="961"/>
      <c r="AB6" s="961"/>
      <c r="AC6" s="961"/>
      <c r="AD6" s="961"/>
      <c r="AE6" s="961"/>
      <c r="AF6" s="962"/>
      <c r="AG6" s="357"/>
    </row>
    <row r="7" spans="2:33" ht="16.5" customHeight="1">
      <c r="B7" s="1032"/>
      <c r="C7" s="1035"/>
      <c r="D7" s="1038"/>
      <c r="E7" s="1038"/>
      <c r="F7" s="1055"/>
      <c r="G7" s="1055"/>
      <c r="H7" s="963" t="s">
        <v>124</v>
      </c>
      <c r="I7" s="963"/>
      <c r="J7" s="963" t="s">
        <v>62</v>
      </c>
      <c r="K7" s="963"/>
      <c r="L7" s="963" t="s">
        <v>124</v>
      </c>
      <c r="M7" s="963"/>
      <c r="N7" s="963" t="s">
        <v>62</v>
      </c>
      <c r="O7" s="963"/>
      <c r="P7" s="963" t="s">
        <v>124</v>
      </c>
      <c r="Q7" s="963"/>
      <c r="R7" s="963" t="s">
        <v>62</v>
      </c>
      <c r="S7" s="963"/>
      <c r="T7" s="965"/>
      <c r="U7" s="958"/>
      <c r="W7" s="950" t="s">
        <v>132</v>
      </c>
      <c r="X7" s="1047"/>
      <c r="Y7" s="1047"/>
      <c r="Z7" s="1047"/>
      <c r="AA7" s="1047"/>
      <c r="AB7" s="1047"/>
      <c r="AC7" s="1047"/>
      <c r="AD7" s="1047"/>
      <c r="AE7" s="1047"/>
      <c r="AF7" s="952"/>
      <c r="AG7" s="357"/>
    </row>
    <row r="8" spans="2:33" ht="17.25" customHeight="1" thickBot="1">
      <c r="B8" s="1033"/>
      <c r="C8" s="1036"/>
      <c r="D8" s="1039"/>
      <c r="E8" s="1039"/>
      <c r="F8" s="1056"/>
      <c r="G8" s="1056"/>
      <c r="H8" s="358" t="s">
        <v>138</v>
      </c>
      <c r="I8" s="358" t="s">
        <v>125</v>
      </c>
      <c r="J8" s="358" t="s">
        <v>138</v>
      </c>
      <c r="K8" s="358" t="s">
        <v>125</v>
      </c>
      <c r="L8" s="358" t="s">
        <v>138</v>
      </c>
      <c r="M8" s="358" t="s">
        <v>125</v>
      </c>
      <c r="N8" s="358" t="s">
        <v>138</v>
      </c>
      <c r="O8" s="358" t="s">
        <v>125</v>
      </c>
      <c r="P8" s="358" t="s">
        <v>138</v>
      </c>
      <c r="Q8" s="358" t="s">
        <v>125</v>
      </c>
      <c r="R8" s="358" t="s">
        <v>138</v>
      </c>
      <c r="S8" s="358" t="s">
        <v>125</v>
      </c>
      <c r="T8" s="966"/>
      <c r="U8" s="959"/>
      <c r="W8" s="14"/>
      <c r="X8" s="359"/>
      <c r="Y8" s="359"/>
      <c r="Z8" s="359"/>
      <c r="AA8" s="359"/>
      <c r="AB8" s="359"/>
      <c r="AC8" s="359"/>
      <c r="AD8" s="359"/>
      <c r="AE8" s="359"/>
      <c r="AF8" s="16"/>
      <c r="AG8" s="357"/>
    </row>
    <row r="9" spans="2:33" ht="16.5" customHeight="1">
      <c r="B9" s="1057" t="s">
        <v>745</v>
      </c>
      <c r="C9" s="1059">
        <v>8</v>
      </c>
      <c r="D9" s="360" t="s">
        <v>746</v>
      </c>
      <c r="E9" s="361" t="s">
        <v>747</v>
      </c>
      <c r="F9" s="361">
        <v>40</v>
      </c>
      <c r="G9" s="361">
        <v>5</v>
      </c>
      <c r="H9" s="362"/>
      <c r="I9" s="362">
        <f>H9*16</f>
        <v>0</v>
      </c>
      <c r="J9" s="362"/>
      <c r="K9" s="362"/>
      <c r="L9" s="362">
        <v>2</v>
      </c>
      <c r="M9" s="362">
        <v>32</v>
      </c>
      <c r="N9" s="362"/>
      <c r="O9" s="362"/>
      <c r="P9" s="362"/>
      <c r="Q9" s="362">
        <f>P9*16</f>
        <v>0</v>
      </c>
      <c r="R9" s="362"/>
      <c r="S9" s="362">
        <f>R9*16</f>
        <v>0</v>
      </c>
      <c r="T9" s="240">
        <f>SUM(H9,J9,L9,N9,P9,R9)</f>
        <v>2</v>
      </c>
      <c r="U9" s="241">
        <f>SUM(I9,K9,M9,O9,Q9,S9)</f>
        <v>32</v>
      </c>
      <c r="W9" s="363"/>
      <c r="X9" s="357"/>
      <c r="Y9" s="357"/>
      <c r="Z9" s="357"/>
      <c r="AA9" s="357"/>
      <c r="AB9" s="357"/>
      <c r="AC9" s="357"/>
      <c r="AD9" s="357"/>
      <c r="AE9" s="357"/>
      <c r="AF9" s="364"/>
      <c r="AG9" s="357"/>
    </row>
    <row r="10" spans="2:33" ht="16.5" customHeight="1">
      <c r="B10" s="1057"/>
      <c r="C10" s="1059"/>
      <c r="D10" s="365" t="s">
        <v>748</v>
      </c>
      <c r="E10" s="361" t="s">
        <v>749</v>
      </c>
      <c r="F10" s="361">
        <v>50</v>
      </c>
      <c r="G10" s="361">
        <v>3</v>
      </c>
      <c r="H10" s="237"/>
      <c r="I10" s="237">
        <f t="shared" ref="I10" si="0">H10*16</f>
        <v>0</v>
      </c>
      <c r="J10" s="237"/>
      <c r="K10" s="237"/>
      <c r="L10" s="237">
        <v>2</v>
      </c>
      <c r="M10" s="237">
        <v>32</v>
      </c>
      <c r="N10" s="237"/>
      <c r="O10" s="237"/>
      <c r="P10" s="237"/>
      <c r="Q10" s="237">
        <f t="shared" ref="Q10" si="1">P10*16</f>
        <v>0</v>
      </c>
      <c r="R10" s="237"/>
      <c r="S10" s="237">
        <f t="shared" ref="S10" si="2">R10*16</f>
        <v>0</v>
      </c>
      <c r="T10" s="238">
        <f t="shared" ref="T10:U12" si="3">SUM(H10,J10,L10,N10,P10,R10)</f>
        <v>2</v>
      </c>
      <c r="U10" s="239">
        <f t="shared" si="3"/>
        <v>32</v>
      </c>
      <c r="W10" s="363"/>
      <c r="X10" s="357"/>
      <c r="Y10" s="357"/>
      <c r="Z10" s="357"/>
      <c r="AA10" s="357"/>
      <c r="AB10" s="357"/>
      <c r="AC10" s="357"/>
      <c r="AD10" s="357"/>
      <c r="AE10" s="357"/>
      <c r="AF10" s="364"/>
      <c r="AG10" s="357"/>
    </row>
    <row r="11" spans="2:33">
      <c r="B11" s="1057"/>
      <c r="C11" s="1059"/>
      <c r="D11" s="360" t="s">
        <v>750</v>
      </c>
      <c r="E11" s="361" t="s">
        <v>751</v>
      </c>
      <c r="F11" s="361">
        <v>50</v>
      </c>
      <c r="G11" s="361">
        <v>4</v>
      </c>
      <c r="H11" s="362"/>
      <c r="I11" s="362"/>
      <c r="J11" s="362"/>
      <c r="K11" s="362"/>
      <c r="L11" s="362"/>
      <c r="M11" s="237"/>
      <c r="N11" s="362">
        <v>2</v>
      </c>
      <c r="O11" s="362">
        <v>32</v>
      </c>
      <c r="P11" s="362"/>
      <c r="Q11" s="362"/>
      <c r="R11" s="362"/>
      <c r="S11" s="362"/>
      <c r="T11" s="238">
        <f t="shared" si="3"/>
        <v>2</v>
      </c>
      <c r="U11" s="239">
        <f t="shared" si="3"/>
        <v>32</v>
      </c>
    </row>
    <row r="12" spans="2:33">
      <c r="B12" s="1057"/>
      <c r="C12" s="1059"/>
      <c r="D12" s="360" t="s">
        <v>752</v>
      </c>
      <c r="E12" s="361" t="s">
        <v>753</v>
      </c>
      <c r="F12" s="361">
        <v>30</v>
      </c>
      <c r="G12" s="361">
        <v>4</v>
      </c>
      <c r="H12" s="362"/>
      <c r="I12" s="362"/>
      <c r="J12" s="362"/>
      <c r="K12" s="362"/>
      <c r="L12" s="362"/>
      <c r="M12" s="362"/>
      <c r="N12" s="362">
        <v>2</v>
      </c>
      <c r="O12" s="362">
        <v>32</v>
      </c>
      <c r="P12" s="362"/>
      <c r="Q12" s="362"/>
      <c r="R12" s="362"/>
      <c r="S12" s="362"/>
      <c r="T12" s="240">
        <f t="shared" si="3"/>
        <v>2</v>
      </c>
      <c r="U12" s="241">
        <f t="shared" si="3"/>
        <v>32</v>
      </c>
    </row>
    <row r="13" spans="2:33" ht="18" thickBot="1">
      <c r="B13" s="1058"/>
      <c r="C13" s="1060"/>
      <c r="D13" s="973" t="s">
        <v>16</v>
      </c>
      <c r="E13" s="973"/>
      <c r="F13" s="409"/>
      <c r="G13" s="409"/>
      <c r="H13" s="276">
        <f>SUM(H11:H12)</f>
        <v>0</v>
      </c>
      <c r="I13" s="276">
        <f>SUM(I11:I12)</f>
        <v>0</v>
      </c>
      <c r="J13" s="276">
        <f>SUM(J11:J12)</f>
        <v>0</v>
      </c>
      <c r="K13" s="276">
        <f>SUM(K11:K12)</f>
        <v>0</v>
      </c>
      <c r="L13" s="276">
        <f t="shared" ref="L13:U13" si="4">SUM(L9:L12)</f>
        <v>4</v>
      </c>
      <c r="M13" s="276">
        <f t="shared" si="4"/>
        <v>64</v>
      </c>
      <c r="N13" s="276">
        <f t="shared" si="4"/>
        <v>4</v>
      </c>
      <c r="O13" s="276">
        <f t="shared" si="4"/>
        <v>64</v>
      </c>
      <c r="P13" s="276">
        <f t="shared" si="4"/>
        <v>0</v>
      </c>
      <c r="Q13" s="276">
        <f t="shared" si="4"/>
        <v>0</v>
      </c>
      <c r="R13" s="276">
        <f t="shared" si="4"/>
        <v>0</v>
      </c>
      <c r="S13" s="276">
        <f t="shared" si="4"/>
        <v>0</v>
      </c>
      <c r="T13" s="353">
        <f t="shared" si="4"/>
        <v>8</v>
      </c>
      <c r="U13" s="353">
        <f t="shared" si="4"/>
        <v>128</v>
      </c>
    </row>
    <row r="14" spans="2:33">
      <c r="B14" s="1049" t="s">
        <v>638</v>
      </c>
      <c r="C14" s="942">
        <v>10</v>
      </c>
      <c r="D14" s="278" t="s">
        <v>639</v>
      </c>
      <c r="E14" s="278" t="s">
        <v>640</v>
      </c>
      <c r="F14" s="277">
        <v>40</v>
      </c>
      <c r="G14" s="278">
        <v>2</v>
      </c>
      <c r="H14" s="319"/>
      <c r="I14" s="306"/>
      <c r="J14" s="278">
        <v>2</v>
      </c>
      <c r="K14" s="278">
        <v>32</v>
      </c>
      <c r="L14" s="306"/>
      <c r="M14" s="306"/>
      <c r="N14" s="306"/>
      <c r="O14" s="306"/>
      <c r="P14" s="306"/>
      <c r="Q14" s="306"/>
      <c r="R14" s="306"/>
      <c r="S14" s="306"/>
      <c r="T14" s="366">
        <f>SUM(H14,J14,L14,N14,P14,R14)</f>
        <v>2</v>
      </c>
      <c r="U14" s="367">
        <f>T14*16</f>
        <v>32</v>
      </c>
      <c r="W14" s="368"/>
    </row>
    <row r="15" spans="2:33">
      <c r="B15" s="1051"/>
      <c r="C15" s="1001"/>
      <c r="D15" s="236" t="s">
        <v>641</v>
      </c>
      <c r="E15" s="236" t="s">
        <v>642</v>
      </c>
      <c r="F15" s="223">
        <v>40</v>
      </c>
      <c r="G15" s="236">
        <v>3</v>
      </c>
      <c r="H15" s="320"/>
      <c r="I15" s="307"/>
      <c r="J15" s="236">
        <v>2</v>
      </c>
      <c r="K15" s="236">
        <v>32</v>
      </c>
      <c r="L15" s="307"/>
      <c r="M15" s="307"/>
      <c r="N15" s="307"/>
      <c r="O15" s="307"/>
      <c r="P15" s="307"/>
      <c r="Q15" s="307"/>
      <c r="R15" s="307"/>
      <c r="S15" s="307"/>
      <c r="T15" s="369">
        <f t="shared" ref="T15:T18" si="5">SUM(H15,J15,L15,N15,P15,R15)</f>
        <v>2</v>
      </c>
      <c r="U15" s="370">
        <f>T15*16</f>
        <v>32</v>
      </c>
      <c r="W15" s="368"/>
    </row>
    <row r="16" spans="2:33">
      <c r="B16" s="1051"/>
      <c r="C16" s="1001"/>
      <c r="D16" s="316" t="s">
        <v>643</v>
      </c>
      <c r="E16" s="278" t="s">
        <v>644</v>
      </c>
      <c r="F16" s="277">
        <v>40</v>
      </c>
      <c r="G16" s="278">
        <v>3</v>
      </c>
      <c r="H16" s="320"/>
      <c r="I16" s="307"/>
      <c r="J16" s="236"/>
      <c r="K16" s="236"/>
      <c r="L16" s="313">
        <v>2</v>
      </c>
      <c r="M16" s="313">
        <f>L16*16</f>
        <v>32</v>
      </c>
      <c r="N16" s="307"/>
      <c r="O16" s="307"/>
      <c r="P16" s="307"/>
      <c r="Q16" s="307"/>
      <c r="R16" s="307"/>
      <c r="S16" s="307"/>
      <c r="T16" s="369">
        <f t="shared" si="5"/>
        <v>2</v>
      </c>
      <c r="U16" s="370">
        <f>T16*16</f>
        <v>32</v>
      </c>
      <c r="W16" s="368"/>
    </row>
    <row r="17" spans="2:23" ht="17.399999999999999" customHeight="1">
      <c r="B17" s="1052"/>
      <c r="C17" s="1053"/>
      <c r="D17" s="318" t="s">
        <v>645</v>
      </c>
      <c r="E17" s="236" t="s">
        <v>646</v>
      </c>
      <c r="F17" s="223">
        <v>40</v>
      </c>
      <c r="G17" s="236">
        <v>3</v>
      </c>
      <c r="H17" s="371"/>
      <c r="I17" s="372"/>
      <c r="J17" s="373"/>
      <c r="K17" s="373"/>
      <c r="L17" s="313">
        <v>2</v>
      </c>
      <c r="M17" s="313">
        <f>L17*16</f>
        <v>32</v>
      </c>
      <c r="N17" s="372"/>
      <c r="O17" s="372"/>
      <c r="P17" s="372"/>
      <c r="Q17" s="372"/>
      <c r="R17" s="372"/>
      <c r="S17" s="372"/>
      <c r="T17" s="374">
        <f t="shared" si="5"/>
        <v>2</v>
      </c>
      <c r="U17" s="375">
        <f>T17*16</f>
        <v>32</v>
      </c>
      <c r="W17" s="368"/>
    </row>
    <row r="18" spans="2:23">
      <c r="B18" s="1052"/>
      <c r="C18" s="1053"/>
      <c r="D18" s="318" t="s">
        <v>647</v>
      </c>
      <c r="E18" s="236" t="s">
        <v>648</v>
      </c>
      <c r="F18" s="223">
        <v>40</v>
      </c>
      <c r="G18" s="236">
        <v>3</v>
      </c>
      <c r="H18" s="371"/>
      <c r="I18" s="372"/>
      <c r="J18" s="373"/>
      <c r="K18" s="373"/>
      <c r="L18" s="313">
        <v>2</v>
      </c>
      <c r="M18" s="313">
        <f>L18*16</f>
        <v>32</v>
      </c>
      <c r="N18" s="372"/>
      <c r="O18" s="372"/>
      <c r="P18" s="372"/>
      <c r="Q18" s="372"/>
      <c r="R18" s="372"/>
      <c r="S18" s="372"/>
      <c r="T18" s="374">
        <f t="shared" si="5"/>
        <v>2</v>
      </c>
      <c r="U18" s="375">
        <f>T18*16</f>
        <v>32</v>
      </c>
      <c r="W18" s="368"/>
    </row>
    <row r="19" spans="2:23" ht="18" thickBot="1">
      <c r="B19" s="1050"/>
      <c r="C19" s="943"/>
      <c r="D19" s="937" t="s">
        <v>16</v>
      </c>
      <c r="E19" s="937"/>
      <c r="F19" s="457"/>
      <c r="G19" s="457"/>
      <c r="H19" s="315"/>
      <c r="I19" s="315"/>
      <c r="J19" s="315">
        <f>SUM(J14:J16)</f>
        <v>4</v>
      </c>
      <c r="K19" s="315">
        <f>SUM(K14:K16)</f>
        <v>64</v>
      </c>
      <c r="L19" s="315">
        <v>6</v>
      </c>
      <c r="M19" s="315">
        <v>96</v>
      </c>
      <c r="N19" s="315"/>
      <c r="O19" s="315"/>
      <c r="P19" s="315">
        <f t="shared" ref="P19:S19" si="6">SUM(P14:P16)</f>
        <v>0</v>
      </c>
      <c r="Q19" s="315">
        <f t="shared" si="6"/>
        <v>0</v>
      </c>
      <c r="R19" s="315">
        <f t="shared" si="6"/>
        <v>0</v>
      </c>
      <c r="S19" s="315">
        <f t="shared" si="6"/>
        <v>0</v>
      </c>
      <c r="T19" s="376">
        <f>SUM(T14:T18)</f>
        <v>10</v>
      </c>
      <c r="U19" s="377">
        <f>SUM(U14:U18)</f>
        <v>160</v>
      </c>
      <c r="W19" s="368"/>
    </row>
    <row r="20" spans="2:23">
      <c r="B20" s="1048" t="s">
        <v>649</v>
      </c>
      <c r="C20" s="941">
        <v>10</v>
      </c>
      <c r="D20" s="298" t="s">
        <v>650</v>
      </c>
      <c r="E20" s="298" t="s">
        <v>651</v>
      </c>
      <c r="F20" s="298" t="s">
        <v>652</v>
      </c>
      <c r="G20" s="230">
        <v>2</v>
      </c>
      <c r="H20" s="299"/>
      <c r="I20" s="300"/>
      <c r="J20" s="300">
        <v>2</v>
      </c>
      <c r="K20" s="300">
        <f>J20*16</f>
        <v>32</v>
      </c>
      <c r="L20" s="301"/>
      <c r="M20" s="301"/>
      <c r="N20" s="301"/>
      <c r="O20" s="301">
        <f>N20*16</f>
        <v>0</v>
      </c>
      <c r="P20" s="301"/>
      <c r="Q20" s="301"/>
      <c r="R20" s="301"/>
      <c r="S20" s="301"/>
      <c r="T20" s="378">
        <f t="shared" ref="T20:T23" si="7">SUM(H20,J20,L20,N20,P20,R20)</f>
        <v>2</v>
      </c>
      <c r="U20" s="379">
        <f>SUM(I20,K20,M20,O20,Q20,S20)</f>
        <v>32</v>
      </c>
      <c r="W20" s="368"/>
    </row>
    <row r="21" spans="2:23">
      <c r="B21" s="1049"/>
      <c r="C21" s="942"/>
      <c r="D21" s="304" t="s">
        <v>653</v>
      </c>
      <c r="E21" s="304" t="s">
        <v>654</v>
      </c>
      <c r="F21" s="304">
        <v>40</v>
      </c>
      <c r="G21" s="236">
        <v>2</v>
      </c>
      <c r="H21" s="305"/>
      <c r="I21" s="306"/>
      <c r="J21" s="307">
        <v>3</v>
      </c>
      <c r="K21" s="307">
        <f>J21*16</f>
        <v>48</v>
      </c>
      <c r="L21" s="306"/>
      <c r="M21" s="306"/>
      <c r="N21" s="306"/>
      <c r="O21" s="306"/>
      <c r="P21" s="306"/>
      <c r="Q21" s="306"/>
      <c r="R21" s="306"/>
      <c r="S21" s="306"/>
      <c r="T21" s="366">
        <f t="shared" si="7"/>
        <v>3</v>
      </c>
      <c r="U21" s="367">
        <f>SUM(I21,K21,M21,O21,Q21,S21)</f>
        <v>48</v>
      </c>
    </row>
    <row r="22" spans="2:23">
      <c r="B22" s="1049"/>
      <c r="C22" s="942"/>
      <c r="D22" s="308" t="s">
        <v>655</v>
      </c>
      <c r="E22" s="309" t="s">
        <v>656</v>
      </c>
      <c r="F22" s="309" t="s">
        <v>652</v>
      </c>
      <c r="G22" s="278">
        <v>3</v>
      </c>
      <c r="H22" s="305"/>
      <c r="I22" s="306"/>
      <c r="J22" s="306"/>
      <c r="K22" s="306"/>
      <c r="L22" s="310">
        <v>2</v>
      </c>
      <c r="M22" s="310">
        <f>L22*16</f>
        <v>32</v>
      </c>
      <c r="N22" s="306"/>
      <c r="O22" s="306"/>
      <c r="P22" s="306"/>
      <c r="Q22" s="306"/>
      <c r="R22" s="306"/>
      <c r="S22" s="306"/>
      <c r="T22" s="366">
        <v>2</v>
      </c>
      <c r="U22" s="367">
        <v>32</v>
      </c>
    </row>
    <row r="23" spans="2:23">
      <c r="B23" s="1049"/>
      <c r="C23" s="942"/>
      <c r="D23" s="311" t="s">
        <v>657</v>
      </c>
      <c r="E23" s="304" t="s">
        <v>658</v>
      </c>
      <c r="F23" s="304">
        <v>50</v>
      </c>
      <c r="G23" s="236">
        <v>4</v>
      </c>
      <c r="H23" s="312"/>
      <c r="I23" s="307"/>
      <c r="J23" s="307"/>
      <c r="K23" s="307"/>
      <c r="L23" s="313">
        <v>3</v>
      </c>
      <c r="M23" s="313">
        <f>L23*16</f>
        <v>48</v>
      </c>
      <c r="N23" s="314"/>
      <c r="O23" s="314"/>
      <c r="P23" s="306"/>
      <c r="Q23" s="306"/>
      <c r="R23" s="306"/>
      <c r="S23" s="306"/>
      <c r="T23" s="366">
        <f t="shared" si="7"/>
        <v>3</v>
      </c>
      <c r="U23" s="367">
        <f>SUM(I23,K23,M23,O23,Q23,S23)</f>
        <v>48</v>
      </c>
    </row>
    <row r="24" spans="2:23" ht="18" thickBot="1">
      <c r="B24" s="1050"/>
      <c r="C24" s="943"/>
      <c r="D24" s="937" t="s">
        <v>16</v>
      </c>
      <c r="E24" s="937"/>
      <c r="F24" s="458"/>
      <c r="G24" s="458"/>
      <c r="H24" s="315"/>
      <c r="I24" s="315"/>
      <c r="J24" s="315">
        <f t="shared" ref="J24:U24" si="8">SUM(J20:J23)</f>
        <v>5</v>
      </c>
      <c r="K24" s="315">
        <f t="shared" si="8"/>
        <v>80</v>
      </c>
      <c r="L24" s="315">
        <f t="shared" si="8"/>
        <v>5</v>
      </c>
      <c r="M24" s="315">
        <f t="shared" si="8"/>
        <v>80</v>
      </c>
      <c r="N24" s="315">
        <f t="shared" si="8"/>
        <v>0</v>
      </c>
      <c r="O24" s="315">
        <f t="shared" si="8"/>
        <v>0</v>
      </c>
      <c r="P24" s="315">
        <f t="shared" si="8"/>
        <v>0</v>
      </c>
      <c r="Q24" s="315">
        <f t="shared" si="8"/>
        <v>0</v>
      </c>
      <c r="R24" s="315">
        <f t="shared" si="8"/>
        <v>0</v>
      </c>
      <c r="S24" s="315">
        <f t="shared" si="8"/>
        <v>0</v>
      </c>
      <c r="T24" s="376">
        <f t="shared" si="8"/>
        <v>10</v>
      </c>
      <c r="U24" s="377">
        <f t="shared" si="8"/>
        <v>160</v>
      </c>
    </row>
    <row r="25" spans="2:23">
      <c r="B25" s="1061" t="s">
        <v>659</v>
      </c>
      <c r="C25" s="947">
        <v>8</v>
      </c>
      <c r="D25" s="316" t="s">
        <v>660</v>
      </c>
      <c r="E25" s="278" t="s">
        <v>661</v>
      </c>
      <c r="F25" s="278">
        <v>50</v>
      </c>
      <c r="G25" s="278">
        <v>2</v>
      </c>
      <c r="H25" s="278"/>
      <c r="I25" s="306"/>
      <c r="J25" s="306"/>
      <c r="K25" s="306"/>
      <c r="L25" s="317"/>
      <c r="M25" s="317"/>
      <c r="N25" s="310">
        <v>3</v>
      </c>
      <c r="O25" s="310">
        <f t="shared" ref="O25:O27" si="9">N25*16</f>
        <v>48</v>
      </c>
      <c r="P25" s="306"/>
      <c r="Q25" s="306"/>
      <c r="R25" s="306"/>
      <c r="S25" s="306"/>
      <c r="T25" s="366">
        <f t="shared" ref="T25:T27" si="10">SUM(H25,J25,L25,N25,P25,R25)</f>
        <v>3</v>
      </c>
      <c r="U25" s="367">
        <f>SUM(I25,K25,M25,O25,Q25,S25)</f>
        <v>48</v>
      </c>
    </row>
    <row r="26" spans="2:23">
      <c r="B26" s="1062"/>
      <c r="C26" s="948"/>
      <c r="D26" s="318" t="s">
        <v>662</v>
      </c>
      <c r="E26" s="236" t="s">
        <v>663</v>
      </c>
      <c r="F26" s="236">
        <v>50</v>
      </c>
      <c r="G26" s="236">
        <v>4</v>
      </c>
      <c r="H26" s="278"/>
      <c r="I26" s="306"/>
      <c r="J26" s="306"/>
      <c r="K26" s="306"/>
      <c r="L26" s="317"/>
      <c r="M26" s="317"/>
      <c r="N26" s="313">
        <v>3</v>
      </c>
      <c r="O26" s="313">
        <f t="shared" si="9"/>
        <v>48</v>
      </c>
      <c r="P26" s="306"/>
      <c r="Q26" s="306"/>
      <c r="R26" s="306"/>
      <c r="S26" s="306"/>
      <c r="T26" s="366">
        <f t="shared" si="10"/>
        <v>3</v>
      </c>
      <c r="U26" s="367">
        <f>SUM(I26,K26,M26,O26,Q26,S26)</f>
        <v>48</v>
      </c>
    </row>
    <row r="27" spans="2:23">
      <c r="B27" s="1062"/>
      <c r="C27" s="948"/>
      <c r="D27" s="318" t="s">
        <v>664</v>
      </c>
      <c r="E27" s="236" t="s">
        <v>665</v>
      </c>
      <c r="F27" s="236">
        <v>50</v>
      </c>
      <c r="G27" s="236">
        <v>3</v>
      </c>
      <c r="H27" s="236"/>
      <c r="I27" s="307"/>
      <c r="J27" s="307"/>
      <c r="K27" s="307"/>
      <c r="L27" s="314"/>
      <c r="M27" s="314"/>
      <c r="N27" s="313">
        <v>2</v>
      </c>
      <c r="O27" s="313">
        <f t="shared" si="9"/>
        <v>32</v>
      </c>
      <c r="P27" s="314"/>
      <c r="Q27" s="314"/>
      <c r="R27" s="307"/>
      <c r="S27" s="307"/>
      <c r="T27" s="366">
        <f t="shared" si="10"/>
        <v>2</v>
      </c>
      <c r="U27" s="367">
        <f>SUM(I27,K27,M27,O27,Q27,S27)</f>
        <v>32</v>
      </c>
    </row>
    <row r="28" spans="2:23" ht="18" thickBot="1">
      <c r="B28" s="1063"/>
      <c r="C28" s="949"/>
      <c r="D28" s="937" t="s">
        <v>16</v>
      </c>
      <c r="E28" s="937"/>
      <c r="F28" s="458"/>
      <c r="G28" s="458"/>
      <c r="H28" s="315"/>
      <c r="I28" s="315"/>
      <c r="J28" s="315"/>
      <c r="K28" s="315"/>
      <c r="L28" s="315">
        <f t="shared" ref="L28:T28" si="11">SUM(L25:L27)</f>
        <v>0</v>
      </c>
      <c r="M28" s="315">
        <f t="shared" si="11"/>
        <v>0</v>
      </c>
      <c r="N28" s="315">
        <f t="shared" si="11"/>
        <v>8</v>
      </c>
      <c r="O28" s="315">
        <f t="shared" si="11"/>
        <v>128</v>
      </c>
      <c r="P28" s="315">
        <f t="shared" si="11"/>
        <v>0</v>
      </c>
      <c r="Q28" s="315">
        <f t="shared" si="11"/>
        <v>0</v>
      </c>
      <c r="R28" s="315">
        <f t="shared" si="11"/>
        <v>0</v>
      </c>
      <c r="S28" s="315">
        <f t="shared" si="11"/>
        <v>0</v>
      </c>
      <c r="T28" s="376">
        <f t="shared" si="11"/>
        <v>8</v>
      </c>
      <c r="U28" s="377">
        <f>SUM(U25:U27)</f>
        <v>128</v>
      </c>
    </row>
    <row r="29" spans="2:23">
      <c r="B29" s="1049" t="s">
        <v>666</v>
      </c>
      <c r="C29" s="942">
        <v>13</v>
      </c>
      <c r="D29" s="316" t="s">
        <v>667</v>
      </c>
      <c r="E29" s="278" t="s">
        <v>668</v>
      </c>
      <c r="F29" s="278">
        <v>50</v>
      </c>
      <c r="G29" s="278">
        <v>4</v>
      </c>
      <c r="H29" s="319"/>
      <c r="I29" s="306"/>
      <c r="J29" s="306"/>
      <c r="K29" s="306"/>
      <c r="L29" s="306"/>
      <c r="M29" s="306"/>
      <c r="N29" s="310">
        <v>2</v>
      </c>
      <c r="O29" s="310">
        <f>N29*16</f>
        <v>32</v>
      </c>
      <c r="P29" s="317"/>
      <c r="Q29" s="317"/>
      <c r="R29" s="306"/>
      <c r="S29" s="306">
        <f>R29*16</f>
        <v>0</v>
      </c>
      <c r="T29" s="366">
        <f t="shared" ref="T29:T32" si="12">SUM(H29,J29,L29,N29,P29,R29)</f>
        <v>2</v>
      </c>
      <c r="U29" s="367">
        <f>SUM(I29,K29,M29,O29,Q29,S29)</f>
        <v>32</v>
      </c>
    </row>
    <row r="30" spans="2:23">
      <c r="B30" s="1051"/>
      <c r="C30" s="1000"/>
      <c r="D30" s="236" t="s">
        <v>669</v>
      </c>
      <c r="E30" s="236" t="s">
        <v>670</v>
      </c>
      <c r="F30" s="236">
        <v>30</v>
      </c>
      <c r="G30" s="236">
        <v>3</v>
      </c>
      <c r="H30" s="320"/>
      <c r="I30" s="307"/>
      <c r="J30" s="307"/>
      <c r="K30" s="307"/>
      <c r="L30" s="307"/>
      <c r="M30" s="307"/>
      <c r="N30" s="307">
        <v>1</v>
      </c>
      <c r="O30" s="307">
        <f t="shared" ref="O30" si="13">N30*16</f>
        <v>16</v>
      </c>
      <c r="P30" s="307"/>
      <c r="Q30" s="307"/>
      <c r="R30" s="307"/>
      <c r="S30" s="307">
        <f t="shared" ref="S30" si="14">R30*16</f>
        <v>0</v>
      </c>
      <c r="T30" s="369">
        <f t="shared" si="12"/>
        <v>1</v>
      </c>
      <c r="U30" s="370">
        <f>SUM(I30,K30,M30,O30,Q30,S30)</f>
        <v>16</v>
      </c>
    </row>
    <row r="31" spans="2:23">
      <c r="B31" s="1051"/>
      <c r="C31" s="1000"/>
      <c r="D31" s="235" t="s">
        <v>671</v>
      </c>
      <c r="E31" s="235" t="s">
        <v>672</v>
      </c>
      <c r="F31" s="235">
        <v>40</v>
      </c>
      <c r="G31" s="235">
        <v>3</v>
      </c>
      <c r="H31" s="320"/>
      <c r="I31" s="307"/>
      <c r="J31" s="307"/>
      <c r="K31" s="307"/>
      <c r="L31" s="307"/>
      <c r="M31" s="307"/>
      <c r="N31" s="307"/>
      <c r="O31" s="307"/>
      <c r="P31" s="307">
        <v>5</v>
      </c>
      <c r="Q31" s="307">
        <f t="shared" ref="Q31:Q32" si="15">P31*16</f>
        <v>80</v>
      </c>
      <c r="R31" s="307"/>
      <c r="S31" s="307"/>
      <c r="T31" s="369">
        <f t="shared" si="12"/>
        <v>5</v>
      </c>
      <c r="U31" s="370">
        <f>SUM(I31,K31,M31,O31,Q31,S31)</f>
        <v>80</v>
      </c>
    </row>
    <row r="32" spans="2:23">
      <c r="B32" s="1051"/>
      <c r="C32" s="1001"/>
      <c r="D32" s="236" t="s">
        <v>673</v>
      </c>
      <c r="E32" s="236" t="s">
        <v>674</v>
      </c>
      <c r="F32" s="236">
        <v>30</v>
      </c>
      <c r="G32" s="236">
        <v>3</v>
      </c>
      <c r="H32" s="320"/>
      <c r="I32" s="307"/>
      <c r="J32" s="307"/>
      <c r="K32" s="307"/>
      <c r="L32" s="307"/>
      <c r="M32" s="307"/>
      <c r="N32" s="307"/>
      <c r="O32" s="307"/>
      <c r="P32" s="307">
        <v>5</v>
      </c>
      <c r="Q32" s="307">
        <f t="shared" si="15"/>
        <v>80</v>
      </c>
      <c r="R32" s="307"/>
      <c r="S32" s="307"/>
      <c r="T32" s="369">
        <f t="shared" si="12"/>
        <v>5</v>
      </c>
      <c r="U32" s="370">
        <f>SUM(I32,K32,M32,O32,Q32,S32)</f>
        <v>80</v>
      </c>
    </row>
    <row r="33" spans="2:21" ht="18" thickBot="1">
      <c r="B33" s="1052"/>
      <c r="C33" s="1053"/>
      <c r="D33" s="1064" t="s">
        <v>16</v>
      </c>
      <c r="E33" s="1064"/>
      <c r="F33" s="458"/>
      <c r="G33" s="458"/>
      <c r="H33" s="560"/>
      <c r="I33" s="560"/>
      <c r="J33" s="560"/>
      <c r="K33" s="560"/>
      <c r="L33" s="560"/>
      <c r="M33" s="560"/>
      <c r="N33" s="560">
        <f t="shared" ref="N33:U33" si="16">SUM(N29:N32)</f>
        <v>3</v>
      </c>
      <c r="O33" s="560">
        <f t="shared" si="16"/>
        <v>48</v>
      </c>
      <c r="P33" s="560">
        <f t="shared" si="16"/>
        <v>10</v>
      </c>
      <c r="Q33" s="560">
        <f t="shared" si="16"/>
        <v>160</v>
      </c>
      <c r="R33" s="560">
        <f t="shared" si="16"/>
        <v>0</v>
      </c>
      <c r="S33" s="560">
        <f t="shared" si="16"/>
        <v>0</v>
      </c>
      <c r="T33" s="624">
        <f t="shared" si="16"/>
        <v>13</v>
      </c>
      <c r="U33" s="625">
        <f t="shared" si="16"/>
        <v>208</v>
      </c>
    </row>
    <row r="34" spans="2:21">
      <c r="B34" s="1048" t="s">
        <v>675</v>
      </c>
      <c r="C34" s="941">
        <v>18</v>
      </c>
      <c r="D34" s="230" t="s">
        <v>676</v>
      </c>
      <c r="E34" s="230" t="s">
        <v>677</v>
      </c>
      <c r="F34" s="219">
        <v>30</v>
      </c>
      <c r="G34" s="230">
        <v>2</v>
      </c>
      <c r="H34" s="380"/>
      <c r="I34" s="300"/>
      <c r="J34" s="300"/>
      <c r="K34" s="300"/>
      <c r="L34" s="300"/>
      <c r="M34" s="300"/>
      <c r="N34" s="300"/>
      <c r="O34" s="300"/>
      <c r="P34" s="300">
        <v>3</v>
      </c>
      <c r="Q34" s="300">
        <v>48</v>
      </c>
      <c r="R34" s="300"/>
      <c r="S34" s="300"/>
      <c r="T34" s="378">
        <f t="shared" ref="T34:T42" si="17">SUM(H34,J34,L34,N34,P34,R34)</f>
        <v>3</v>
      </c>
      <c r="U34" s="379">
        <f>SUM(I34,K34,M34,O34,Q34,S34)</f>
        <v>48</v>
      </c>
    </row>
    <row r="35" spans="2:21">
      <c r="B35" s="1051"/>
      <c r="C35" s="1000"/>
      <c r="D35" s="236" t="s">
        <v>678</v>
      </c>
      <c r="E35" s="236" t="s">
        <v>679</v>
      </c>
      <c r="F35" s="277">
        <v>40</v>
      </c>
      <c r="G35" s="278">
        <v>3</v>
      </c>
      <c r="H35" s="320"/>
      <c r="I35" s="307"/>
      <c r="J35" s="307"/>
      <c r="K35" s="307"/>
      <c r="L35" s="307"/>
      <c r="M35" s="307"/>
      <c r="N35" s="307"/>
      <c r="O35" s="307"/>
      <c r="P35" s="307">
        <v>4</v>
      </c>
      <c r="Q35" s="307">
        <v>64</v>
      </c>
      <c r="R35" s="307"/>
      <c r="S35" s="307"/>
      <c r="T35" s="369">
        <f t="shared" si="17"/>
        <v>4</v>
      </c>
      <c r="U35" s="370">
        <f t="shared" ref="U35:U37" si="18">SUM(I35,K35,M35,O35,Q35,S35)</f>
        <v>64</v>
      </c>
    </row>
    <row r="36" spans="2:21">
      <c r="B36" s="1051"/>
      <c r="C36" s="1000"/>
      <c r="D36" s="236" t="s">
        <v>680</v>
      </c>
      <c r="E36" s="236" t="s">
        <v>681</v>
      </c>
      <c r="F36" s="323">
        <v>40</v>
      </c>
      <c r="G36" s="323">
        <v>4</v>
      </c>
      <c r="H36" s="320"/>
      <c r="I36" s="307"/>
      <c r="J36" s="307"/>
      <c r="K36" s="307"/>
      <c r="L36" s="307"/>
      <c r="M36" s="307"/>
      <c r="N36" s="307"/>
      <c r="O36" s="307"/>
      <c r="P36" s="307"/>
      <c r="Q36" s="307"/>
      <c r="R36" s="307">
        <v>6</v>
      </c>
      <c r="S36" s="307">
        <f>R36*16</f>
        <v>96</v>
      </c>
      <c r="T36" s="369">
        <f t="shared" si="17"/>
        <v>6</v>
      </c>
      <c r="U36" s="370">
        <f t="shared" si="18"/>
        <v>96</v>
      </c>
    </row>
    <row r="37" spans="2:21">
      <c r="B37" s="1051"/>
      <c r="C37" s="1000"/>
      <c r="D37" s="236" t="s">
        <v>682</v>
      </c>
      <c r="E37" s="236" t="s">
        <v>683</v>
      </c>
      <c r="F37" s="262">
        <v>50</v>
      </c>
      <c r="G37" s="262">
        <v>3</v>
      </c>
      <c r="H37" s="320"/>
      <c r="I37" s="307"/>
      <c r="J37" s="307"/>
      <c r="K37" s="307"/>
      <c r="L37" s="307"/>
      <c r="M37" s="307"/>
      <c r="N37" s="307"/>
      <c r="O37" s="307"/>
      <c r="P37" s="307"/>
      <c r="Q37" s="307"/>
      <c r="R37" s="307">
        <v>5</v>
      </c>
      <c r="S37" s="307">
        <f>R37*16</f>
        <v>80</v>
      </c>
      <c r="T37" s="369">
        <f t="shared" si="17"/>
        <v>5</v>
      </c>
      <c r="U37" s="370">
        <f t="shared" si="18"/>
        <v>80</v>
      </c>
    </row>
    <row r="38" spans="2:21" ht="18" thickBot="1">
      <c r="B38" s="1050"/>
      <c r="C38" s="1065"/>
      <c r="D38" s="937" t="s">
        <v>16</v>
      </c>
      <c r="E38" s="937"/>
      <c r="F38" s="457"/>
      <c r="G38" s="457"/>
      <c r="H38" s="315"/>
      <c r="I38" s="315"/>
      <c r="J38" s="315"/>
      <c r="K38" s="315"/>
      <c r="L38" s="315"/>
      <c r="M38" s="315"/>
      <c r="N38" s="315"/>
      <c r="O38" s="315"/>
      <c r="P38" s="315">
        <f t="shared" ref="P38:U38" si="19">SUM(P34:P37)</f>
        <v>7</v>
      </c>
      <c r="Q38" s="315">
        <f t="shared" si="19"/>
        <v>112</v>
      </c>
      <c r="R38" s="315">
        <f t="shared" si="19"/>
        <v>11</v>
      </c>
      <c r="S38" s="315">
        <f t="shared" si="19"/>
        <v>176</v>
      </c>
      <c r="T38" s="376">
        <f t="shared" si="19"/>
        <v>18</v>
      </c>
      <c r="U38" s="377">
        <f t="shared" si="19"/>
        <v>288</v>
      </c>
    </row>
    <row r="39" spans="2:21">
      <c r="B39" s="1062" t="s">
        <v>684</v>
      </c>
      <c r="C39" s="948">
        <v>15</v>
      </c>
      <c r="D39" s="278" t="s">
        <v>685</v>
      </c>
      <c r="E39" s="278" t="s">
        <v>686</v>
      </c>
      <c r="F39" s="323">
        <v>40</v>
      </c>
      <c r="G39" s="323">
        <v>3</v>
      </c>
      <c r="H39" s="319"/>
      <c r="I39" s="306"/>
      <c r="J39" s="306"/>
      <c r="K39" s="306"/>
      <c r="L39" s="306"/>
      <c r="M39" s="306"/>
      <c r="N39" s="306"/>
      <c r="O39" s="306"/>
      <c r="P39" s="306">
        <v>4</v>
      </c>
      <c r="Q39" s="306">
        <v>64</v>
      </c>
      <c r="R39" s="306"/>
      <c r="S39" s="306"/>
      <c r="T39" s="366">
        <f t="shared" si="17"/>
        <v>4</v>
      </c>
      <c r="U39" s="367">
        <f>SUM(I39,K39,M39,O39,Q39,S39)</f>
        <v>64</v>
      </c>
    </row>
    <row r="40" spans="2:21">
      <c r="B40" s="1062"/>
      <c r="C40" s="948"/>
      <c r="D40" s="236" t="s">
        <v>687</v>
      </c>
      <c r="E40" s="236" t="s">
        <v>688</v>
      </c>
      <c r="F40" s="262">
        <v>40</v>
      </c>
      <c r="G40" s="262">
        <v>3</v>
      </c>
      <c r="H40" s="320"/>
      <c r="I40" s="307"/>
      <c r="J40" s="307"/>
      <c r="K40" s="307"/>
      <c r="L40" s="307"/>
      <c r="M40" s="307"/>
      <c r="N40" s="307"/>
      <c r="O40" s="307"/>
      <c r="P40" s="307">
        <v>4</v>
      </c>
      <c r="Q40" s="307">
        <v>64</v>
      </c>
      <c r="R40" s="307"/>
      <c r="S40" s="307"/>
      <c r="T40" s="366">
        <f t="shared" si="17"/>
        <v>4</v>
      </c>
      <c r="U40" s="367">
        <f t="shared" ref="U40:U42" si="20">SUM(I40,K40,M40,O40,Q40,S40)</f>
        <v>64</v>
      </c>
    </row>
    <row r="41" spans="2:21">
      <c r="B41" s="1062"/>
      <c r="C41" s="948"/>
      <c r="D41" s="278" t="s">
        <v>689</v>
      </c>
      <c r="E41" s="278" t="s">
        <v>690</v>
      </c>
      <c r="F41" s="323">
        <v>40</v>
      </c>
      <c r="G41" s="323">
        <v>3</v>
      </c>
      <c r="H41" s="319"/>
      <c r="I41" s="306"/>
      <c r="J41" s="306"/>
      <c r="K41" s="306"/>
      <c r="L41" s="306"/>
      <c r="M41" s="306"/>
      <c r="N41" s="306"/>
      <c r="O41" s="306"/>
      <c r="P41" s="306"/>
      <c r="Q41" s="306"/>
      <c r="R41" s="306">
        <v>3</v>
      </c>
      <c r="S41" s="306">
        <f>R41*16</f>
        <v>48</v>
      </c>
      <c r="T41" s="366">
        <f t="shared" si="17"/>
        <v>3</v>
      </c>
      <c r="U41" s="367">
        <f t="shared" si="20"/>
        <v>48</v>
      </c>
    </row>
    <row r="42" spans="2:21">
      <c r="B42" s="1062"/>
      <c r="C42" s="948"/>
      <c r="D42" s="236" t="s">
        <v>691</v>
      </c>
      <c r="E42" s="236" t="s">
        <v>692</v>
      </c>
      <c r="F42" s="262">
        <v>40</v>
      </c>
      <c r="G42" s="262">
        <v>3</v>
      </c>
      <c r="H42" s="320"/>
      <c r="I42" s="307"/>
      <c r="J42" s="307"/>
      <c r="K42" s="307"/>
      <c r="L42" s="307"/>
      <c r="M42" s="307"/>
      <c r="N42" s="307"/>
      <c r="O42" s="307"/>
      <c r="P42" s="307"/>
      <c r="Q42" s="307"/>
      <c r="R42" s="307">
        <v>4</v>
      </c>
      <c r="S42" s="306">
        <f>R42*16</f>
        <v>64</v>
      </c>
      <c r="T42" s="366">
        <f t="shared" si="17"/>
        <v>4</v>
      </c>
      <c r="U42" s="367">
        <f t="shared" si="20"/>
        <v>64</v>
      </c>
    </row>
    <row r="43" spans="2:21" ht="18" thickBot="1">
      <c r="B43" s="1062"/>
      <c r="C43" s="948"/>
      <c r="D43" s="1064" t="s">
        <v>16</v>
      </c>
      <c r="E43" s="1064"/>
      <c r="F43" s="558"/>
      <c r="G43" s="558"/>
      <c r="H43" s="560"/>
      <c r="I43" s="560"/>
      <c r="J43" s="560"/>
      <c r="K43" s="560"/>
      <c r="L43" s="560"/>
      <c r="M43" s="560"/>
      <c r="N43" s="560"/>
      <c r="O43" s="560"/>
      <c r="P43" s="560">
        <f t="shared" ref="P43:U43" si="21">SUM(P39:P42)</f>
        <v>8</v>
      </c>
      <c r="Q43" s="560">
        <f t="shared" si="21"/>
        <v>128</v>
      </c>
      <c r="R43" s="560">
        <f t="shared" si="21"/>
        <v>7</v>
      </c>
      <c r="S43" s="560">
        <f t="shared" si="21"/>
        <v>112</v>
      </c>
      <c r="T43" s="624">
        <f t="shared" si="21"/>
        <v>15</v>
      </c>
      <c r="U43" s="625">
        <f t="shared" si="21"/>
        <v>240</v>
      </c>
    </row>
    <row r="44" spans="2:21">
      <c r="B44" s="1066" t="s">
        <v>754</v>
      </c>
      <c r="C44" s="970">
        <v>11</v>
      </c>
      <c r="D44" s="381" t="s">
        <v>755</v>
      </c>
      <c r="E44" s="230" t="s">
        <v>756</v>
      </c>
      <c r="F44" s="230">
        <v>45</v>
      </c>
      <c r="G44" s="230">
        <v>4</v>
      </c>
      <c r="H44" s="382"/>
      <c r="I44" s="231"/>
      <c r="J44" s="231"/>
      <c r="K44" s="231"/>
      <c r="L44" s="231"/>
      <c r="M44" s="231"/>
      <c r="N44" s="231"/>
      <c r="O44" s="231"/>
      <c r="P44" s="231"/>
      <c r="Q44" s="231"/>
      <c r="R44" s="231">
        <v>6</v>
      </c>
      <c r="S44" s="231">
        <v>96</v>
      </c>
      <c r="T44" s="232">
        <f t="shared" ref="T44:T45" si="22">SUM(H44,J44,L44,N44,P44,R44)</f>
        <v>6</v>
      </c>
      <c r="U44" s="233">
        <f>SUM(I44,K44,M44,O44,Q44,S44)</f>
        <v>96</v>
      </c>
    </row>
    <row r="45" spans="2:21">
      <c r="B45" s="1067"/>
      <c r="C45" s="971"/>
      <c r="D45" s="383" t="s">
        <v>757</v>
      </c>
      <c r="E45" s="236" t="s">
        <v>758</v>
      </c>
      <c r="F45" s="236">
        <v>60</v>
      </c>
      <c r="G45" s="236">
        <v>2</v>
      </c>
      <c r="H45" s="384"/>
      <c r="I45" s="237"/>
      <c r="J45" s="237"/>
      <c r="K45" s="237"/>
      <c r="L45" s="237"/>
      <c r="M45" s="237"/>
      <c r="N45" s="237"/>
      <c r="O45" s="237"/>
      <c r="P45" s="237"/>
      <c r="Q45" s="237"/>
      <c r="R45" s="237">
        <v>5</v>
      </c>
      <c r="S45" s="237">
        <v>80</v>
      </c>
      <c r="T45" s="238">
        <f t="shared" si="22"/>
        <v>5</v>
      </c>
      <c r="U45" s="239">
        <f>SUM(I45,K45,M45,O45,Q45,S45)</f>
        <v>80</v>
      </c>
    </row>
    <row r="46" spans="2:21" ht="18" thickBot="1">
      <c r="B46" s="1068"/>
      <c r="C46" s="1069"/>
      <c r="D46" s="1070" t="s">
        <v>16</v>
      </c>
      <c r="E46" s="1070"/>
      <c r="F46" s="461"/>
      <c r="G46" s="461"/>
      <c r="H46" s="386"/>
      <c r="I46" s="386"/>
      <c r="J46" s="386"/>
      <c r="K46" s="386"/>
      <c r="L46" s="386">
        <f>SUM(L44:L45)</f>
        <v>0</v>
      </c>
      <c r="M46" s="386">
        <f>SUM(M44:M45)</f>
        <v>0</v>
      </c>
      <c r="N46" s="386">
        <f>SUM(N44:N45)</f>
        <v>0</v>
      </c>
      <c r="O46" s="386">
        <f>SUM(O44:O45)</f>
        <v>0</v>
      </c>
      <c r="P46" s="386"/>
      <c r="Q46" s="386"/>
      <c r="R46" s="386">
        <f>SUM(R44:R45)</f>
        <v>11</v>
      </c>
      <c r="S46" s="386">
        <f>SUM(S44:S45)</f>
        <v>176</v>
      </c>
      <c r="T46" s="387">
        <f>SUM(T44:T45)</f>
        <v>11</v>
      </c>
      <c r="U46" s="388">
        <f>SUM(U44:U45)</f>
        <v>176</v>
      </c>
    </row>
    <row r="47" spans="2:21">
      <c r="B47" s="1013" t="s">
        <v>759</v>
      </c>
      <c r="C47" s="1016">
        <v>16</v>
      </c>
      <c r="D47" s="476" t="s">
        <v>760</v>
      </c>
      <c r="E47" s="476" t="s">
        <v>761</v>
      </c>
      <c r="F47" s="385">
        <v>40</v>
      </c>
      <c r="G47" s="385">
        <v>4</v>
      </c>
      <c r="H47" s="231"/>
      <c r="I47" s="231"/>
      <c r="J47" s="231"/>
      <c r="K47" s="231"/>
      <c r="L47" s="231">
        <v>2</v>
      </c>
      <c r="M47" s="231">
        <v>32</v>
      </c>
      <c r="N47" s="231"/>
      <c r="O47" s="231"/>
      <c r="P47" s="231"/>
      <c r="Q47" s="231"/>
      <c r="R47" s="231"/>
      <c r="S47" s="231"/>
      <c r="T47" s="232">
        <f t="shared" ref="T47:U52" si="23">SUM(H47,J47,L47,N47,P47,R47)</f>
        <v>2</v>
      </c>
      <c r="U47" s="233">
        <f t="shared" si="23"/>
        <v>32</v>
      </c>
    </row>
    <row r="48" spans="2:21">
      <c r="B48" s="1014"/>
      <c r="C48" s="1071"/>
      <c r="D48" s="477" t="s">
        <v>762</v>
      </c>
      <c r="E48" s="477" t="s">
        <v>763</v>
      </c>
      <c r="F48" s="365">
        <v>50</v>
      </c>
      <c r="G48" s="365">
        <v>2</v>
      </c>
      <c r="H48" s="237"/>
      <c r="I48" s="237"/>
      <c r="J48" s="237"/>
      <c r="K48" s="237"/>
      <c r="L48" s="224">
        <v>3</v>
      </c>
      <c r="M48" s="224">
        <v>48</v>
      </c>
      <c r="N48" s="224"/>
      <c r="O48" s="224"/>
      <c r="P48" s="224"/>
      <c r="Q48" s="224"/>
      <c r="R48" s="237"/>
      <c r="S48" s="237"/>
      <c r="T48" s="238">
        <f t="shared" si="23"/>
        <v>3</v>
      </c>
      <c r="U48" s="239">
        <f t="shared" si="23"/>
        <v>48</v>
      </c>
    </row>
    <row r="49" spans="2:21">
      <c r="B49" s="1014"/>
      <c r="C49" s="1071"/>
      <c r="D49" s="477" t="s">
        <v>764</v>
      </c>
      <c r="E49" s="477" t="s">
        <v>765</v>
      </c>
      <c r="F49" s="365">
        <v>50</v>
      </c>
      <c r="G49" s="365">
        <v>2</v>
      </c>
      <c r="H49" s="237"/>
      <c r="I49" s="237"/>
      <c r="J49" s="237"/>
      <c r="K49" s="237"/>
      <c r="L49" s="224">
        <v>3</v>
      </c>
      <c r="M49" s="224">
        <v>48</v>
      </c>
      <c r="N49" s="224"/>
      <c r="O49" s="224"/>
      <c r="P49" s="224"/>
      <c r="Q49" s="224"/>
      <c r="R49" s="237"/>
      <c r="S49" s="237"/>
      <c r="T49" s="238">
        <f t="shared" si="23"/>
        <v>3</v>
      </c>
      <c r="U49" s="239">
        <f t="shared" si="23"/>
        <v>48</v>
      </c>
    </row>
    <row r="50" spans="2:21">
      <c r="B50" s="1014"/>
      <c r="C50" s="1071"/>
      <c r="D50" s="477" t="s">
        <v>766</v>
      </c>
      <c r="E50" s="477" t="s">
        <v>767</v>
      </c>
      <c r="F50" s="365">
        <v>50</v>
      </c>
      <c r="G50" s="365">
        <v>3</v>
      </c>
      <c r="H50" s="237"/>
      <c r="I50" s="237"/>
      <c r="J50" s="237"/>
      <c r="K50" s="237"/>
      <c r="L50" s="224"/>
      <c r="M50" s="224"/>
      <c r="N50" s="224">
        <v>3</v>
      </c>
      <c r="O50" s="224">
        <v>48</v>
      </c>
      <c r="P50" s="224"/>
      <c r="Q50" s="224"/>
      <c r="R50" s="237"/>
      <c r="S50" s="237"/>
      <c r="T50" s="238">
        <f t="shared" si="23"/>
        <v>3</v>
      </c>
      <c r="U50" s="239">
        <f t="shared" si="23"/>
        <v>48</v>
      </c>
    </row>
    <row r="51" spans="2:21">
      <c r="B51" s="1014"/>
      <c r="C51" s="1071"/>
      <c r="D51" s="477" t="s">
        <v>768</v>
      </c>
      <c r="E51" s="477" t="s">
        <v>769</v>
      </c>
      <c r="F51" s="365">
        <v>40</v>
      </c>
      <c r="G51" s="365">
        <v>2</v>
      </c>
      <c r="H51" s="237"/>
      <c r="I51" s="237"/>
      <c r="J51" s="237"/>
      <c r="K51" s="237"/>
      <c r="L51" s="224"/>
      <c r="M51" s="224"/>
      <c r="N51" s="224">
        <v>3</v>
      </c>
      <c r="O51" s="224">
        <v>48</v>
      </c>
      <c r="P51" s="224"/>
      <c r="Q51" s="224"/>
      <c r="R51" s="237"/>
      <c r="S51" s="237"/>
      <c r="T51" s="238">
        <f t="shared" si="23"/>
        <v>3</v>
      </c>
      <c r="U51" s="239">
        <f t="shared" si="23"/>
        <v>48</v>
      </c>
    </row>
    <row r="52" spans="2:21">
      <c r="B52" s="1014"/>
      <c r="C52" s="1071"/>
      <c r="D52" s="477" t="s">
        <v>770</v>
      </c>
      <c r="E52" s="477" t="s">
        <v>771</v>
      </c>
      <c r="F52" s="365">
        <v>50</v>
      </c>
      <c r="G52" s="365">
        <v>5</v>
      </c>
      <c r="H52" s="237"/>
      <c r="I52" s="237"/>
      <c r="J52" s="237"/>
      <c r="K52" s="237"/>
      <c r="L52" s="224"/>
      <c r="M52" s="224"/>
      <c r="N52" s="224">
        <v>2</v>
      </c>
      <c r="O52" s="224">
        <v>32</v>
      </c>
      <c r="P52" s="224"/>
      <c r="Q52" s="224"/>
      <c r="R52" s="237"/>
      <c r="S52" s="237"/>
      <c r="T52" s="238">
        <f t="shared" si="23"/>
        <v>2</v>
      </c>
      <c r="U52" s="239">
        <f t="shared" si="23"/>
        <v>32</v>
      </c>
    </row>
    <row r="53" spans="2:21" ht="18" thickBot="1">
      <c r="B53" s="1015"/>
      <c r="C53" s="1018"/>
      <c r="D53" s="1019" t="s">
        <v>16</v>
      </c>
      <c r="E53" s="1019"/>
      <c r="F53" s="464"/>
      <c r="G53" s="464"/>
      <c r="H53" s="386"/>
      <c r="I53" s="386"/>
      <c r="J53" s="386"/>
      <c r="K53" s="386"/>
      <c r="L53" s="340">
        <f>SUM(L47:L49)</f>
        <v>8</v>
      </c>
      <c r="M53" s="340">
        <f>SUM(M47:M49)</f>
        <v>128</v>
      </c>
      <c r="N53" s="340">
        <f>SUM(N50:N52)</f>
        <v>8</v>
      </c>
      <c r="O53" s="340">
        <f>SUM(O50:O52)</f>
        <v>128</v>
      </c>
      <c r="P53" s="340">
        <f t="shared" ref="P53:U53" si="24">SUM(P47:P52)</f>
        <v>0</v>
      </c>
      <c r="Q53" s="340">
        <f t="shared" si="24"/>
        <v>0</v>
      </c>
      <c r="R53" s="386">
        <f t="shared" si="24"/>
        <v>0</v>
      </c>
      <c r="S53" s="386">
        <f t="shared" si="24"/>
        <v>0</v>
      </c>
      <c r="T53" s="387">
        <f t="shared" si="24"/>
        <v>16</v>
      </c>
      <c r="U53" s="388">
        <f t="shared" si="24"/>
        <v>256</v>
      </c>
    </row>
    <row r="54" spans="2:21" ht="18.600000000000001" customHeight="1">
      <c r="B54" s="967" t="s">
        <v>773</v>
      </c>
      <c r="C54" s="1072">
        <v>6</v>
      </c>
      <c r="D54" s="478" t="s">
        <v>898</v>
      </c>
      <c r="E54" s="478" t="s">
        <v>776</v>
      </c>
      <c r="F54" s="389">
        <v>60</v>
      </c>
      <c r="G54" s="389">
        <v>2</v>
      </c>
      <c r="H54" s="390"/>
      <c r="I54" s="390"/>
      <c r="J54" s="390"/>
      <c r="K54" s="390"/>
      <c r="L54" s="273">
        <v>3</v>
      </c>
      <c r="M54" s="273">
        <v>48</v>
      </c>
      <c r="N54" s="273"/>
      <c r="O54" s="273"/>
      <c r="P54" s="273"/>
      <c r="Q54" s="273"/>
      <c r="R54" s="250"/>
      <c r="S54" s="250"/>
      <c r="T54" s="391">
        <f>SUM(H54,J54,L54,N54,P54,R54)</f>
        <v>3</v>
      </c>
      <c r="U54" s="392">
        <f>T54*16</f>
        <v>48</v>
      </c>
    </row>
    <row r="55" spans="2:21">
      <c r="B55" s="968"/>
      <c r="C55" s="1073"/>
      <c r="D55" s="479" t="s">
        <v>777</v>
      </c>
      <c r="E55" s="479" t="s">
        <v>778</v>
      </c>
      <c r="F55" s="393">
        <v>60</v>
      </c>
      <c r="G55" s="393">
        <v>3</v>
      </c>
      <c r="H55" s="394"/>
      <c r="I55" s="394"/>
      <c r="J55" s="394"/>
      <c r="K55" s="394"/>
      <c r="L55" s="256"/>
      <c r="M55" s="256"/>
      <c r="N55" s="256">
        <v>3</v>
      </c>
      <c r="O55" s="256">
        <v>48</v>
      </c>
      <c r="P55" s="256"/>
      <c r="Q55" s="256"/>
      <c r="R55" s="257"/>
      <c r="S55" s="257"/>
      <c r="T55" s="626">
        <f>SUM(H55,J55,L55,N55,P55,R55)</f>
        <v>3</v>
      </c>
      <c r="U55" s="395">
        <f>T55*16</f>
        <v>48</v>
      </c>
    </row>
    <row r="56" spans="2:21" ht="18" thickBot="1">
      <c r="B56" s="969"/>
      <c r="C56" s="1074"/>
      <c r="D56" s="992" t="s">
        <v>16</v>
      </c>
      <c r="E56" s="992"/>
      <c r="F56" s="464"/>
      <c r="G56" s="464"/>
      <c r="H56" s="460"/>
      <c r="I56" s="460"/>
      <c r="J56" s="460"/>
      <c r="K56" s="460"/>
      <c r="L56" s="267">
        <f>SUM(L54:L55)</f>
        <v>3</v>
      </c>
      <c r="M56" s="267">
        <f>SUM(M54:M55)</f>
        <v>48</v>
      </c>
      <c r="N56" s="267">
        <f>SUM(N55)</f>
        <v>3</v>
      </c>
      <c r="O56" s="267">
        <f>SUM(O55)</f>
        <v>48</v>
      </c>
      <c r="P56" s="456"/>
      <c r="Q56" s="456"/>
      <c r="R56" s="460"/>
      <c r="S56" s="460"/>
      <c r="T56" s="470">
        <f>SUM(T54:T55)</f>
        <v>6</v>
      </c>
      <c r="U56" s="627">
        <f>SUM(U54:U55)</f>
        <v>96</v>
      </c>
    </row>
    <row r="57" spans="2:21">
      <c r="B57" s="1013" t="s">
        <v>781</v>
      </c>
      <c r="C57" s="1072">
        <v>19</v>
      </c>
      <c r="D57" s="270" t="s">
        <v>828</v>
      </c>
      <c r="E57" s="271" t="s">
        <v>829</v>
      </c>
      <c r="F57" s="230">
        <v>45</v>
      </c>
      <c r="G57" s="230">
        <v>4</v>
      </c>
      <c r="H57" s="390"/>
      <c r="I57" s="390"/>
      <c r="J57" s="390"/>
      <c r="K57" s="390"/>
      <c r="L57" s="481"/>
      <c r="M57" s="481"/>
      <c r="N57" s="481"/>
      <c r="O57" s="481"/>
      <c r="P57" s="220">
        <v>4</v>
      </c>
      <c r="Q57" s="220">
        <f>16*P57</f>
        <v>64</v>
      </c>
      <c r="R57" s="411"/>
      <c r="S57" s="411"/>
      <c r="T57" s="413">
        <f>SUM(H57,J57,L57,N57,P57,R57)</f>
        <v>4</v>
      </c>
      <c r="U57" s="414">
        <f>T57*16</f>
        <v>64</v>
      </c>
    </row>
    <row r="58" spans="2:21">
      <c r="B58" s="1014"/>
      <c r="C58" s="1073"/>
      <c r="D58" s="261" t="s">
        <v>830</v>
      </c>
      <c r="E58" s="262" t="s">
        <v>831</v>
      </c>
      <c r="F58" s="236">
        <v>45</v>
      </c>
      <c r="G58" s="236">
        <v>4</v>
      </c>
      <c r="H58" s="394"/>
      <c r="I58" s="394"/>
      <c r="J58" s="394"/>
      <c r="K58" s="394"/>
      <c r="L58" s="482"/>
      <c r="M58" s="482"/>
      <c r="N58" s="482"/>
      <c r="O58" s="482"/>
      <c r="P58" s="224">
        <v>4</v>
      </c>
      <c r="Q58" s="224">
        <f>16*P58</f>
        <v>64</v>
      </c>
      <c r="R58" s="257"/>
      <c r="S58" s="257"/>
      <c r="T58" s="415">
        <f t="shared" ref="T58:T60" si="25">SUM(H58,J58,L58,N58,P58,R58)</f>
        <v>4</v>
      </c>
      <c r="U58" s="416">
        <f t="shared" ref="U58:U60" si="26">T58*16</f>
        <v>64</v>
      </c>
    </row>
    <row r="59" spans="2:21">
      <c r="B59" s="1014"/>
      <c r="C59" s="1073"/>
      <c r="D59" s="261" t="s">
        <v>755</v>
      </c>
      <c r="E59" s="262" t="s">
        <v>756</v>
      </c>
      <c r="F59" s="236">
        <v>45</v>
      </c>
      <c r="G59" s="236">
        <v>4</v>
      </c>
      <c r="H59" s="394"/>
      <c r="I59" s="394"/>
      <c r="J59" s="394"/>
      <c r="K59" s="394"/>
      <c r="L59" s="394"/>
      <c r="M59" s="394"/>
      <c r="N59" s="394"/>
      <c r="O59" s="394"/>
      <c r="P59" s="394"/>
      <c r="Q59" s="394"/>
      <c r="R59" s="257">
        <v>6</v>
      </c>
      <c r="S59" s="257">
        <v>96</v>
      </c>
      <c r="T59" s="415">
        <f t="shared" si="25"/>
        <v>6</v>
      </c>
      <c r="U59" s="416">
        <f t="shared" si="26"/>
        <v>96</v>
      </c>
    </row>
    <row r="60" spans="2:21">
      <c r="B60" s="1014"/>
      <c r="C60" s="1073"/>
      <c r="D60" s="261" t="s">
        <v>757</v>
      </c>
      <c r="E60" s="262" t="s">
        <v>758</v>
      </c>
      <c r="F60" s="236">
        <v>60</v>
      </c>
      <c r="G60" s="236">
        <v>2</v>
      </c>
      <c r="H60" s="394"/>
      <c r="I60" s="394"/>
      <c r="J60" s="394"/>
      <c r="K60" s="394"/>
      <c r="L60" s="394"/>
      <c r="M60" s="394"/>
      <c r="N60" s="394"/>
      <c r="O60" s="394"/>
      <c r="P60" s="394"/>
      <c r="Q60" s="394"/>
      <c r="R60" s="257">
        <v>5</v>
      </c>
      <c r="S60" s="257">
        <v>80</v>
      </c>
      <c r="T60" s="415">
        <f t="shared" si="25"/>
        <v>5</v>
      </c>
      <c r="U60" s="416">
        <f t="shared" si="26"/>
        <v>80</v>
      </c>
    </row>
    <row r="61" spans="2:21" ht="18" thickBot="1">
      <c r="B61" s="1028"/>
      <c r="C61" s="1074"/>
      <c r="D61" s="992" t="s">
        <v>16</v>
      </c>
      <c r="E61" s="992"/>
      <c r="F61" s="460"/>
      <c r="G61" s="460"/>
      <c r="H61" s="460"/>
      <c r="I61" s="460"/>
      <c r="J61" s="460"/>
      <c r="K61" s="460"/>
      <c r="L61" s="460"/>
      <c r="M61" s="460"/>
      <c r="N61" s="460"/>
      <c r="O61" s="460"/>
      <c r="P61" s="460">
        <f>SUM(P57:P58)</f>
        <v>8</v>
      </c>
      <c r="Q61" s="460">
        <f>SUM(Q57:Q58)</f>
        <v>128</v>
      </c>
      <c r="R61" s="276">
        <f>SUM(R59:R60)</f>
        <v>11</v>
      </c>
      <c r="S61" s="276">
        <f>SUM(S59:S60)</f>
        <v>176</v>
      </c>
      <c r="T61" s="470">
        <f>SUM(T57:T60)</f>
        <v>19</v>
      </c>
      <c r="U61" s="627">
        <f>SUM(U57:U60)</f>
        <v>304</v>
      </c>
    </row>
    <row r="62" spans="2:21">
      <c r="B62" s="1057" t="s">
        <v>782</v>
      </c>
      <c r="C62" s="1075">
        <v>20</v>
      </c>
      <c r="D62" s="278" t="s">
        <v>783</v>
      </c>
      <c r="E62" s="278" t="s">
        <v>784</v>
      </c>
      <c r="F62" s="278">
        <v>50</v>
      </c>
      <c r="G62" s="278">
        <v>2</v>
      </c>
      <c r="H62" s="396"/>
      <c r="I62" s="396"/>
      <c r="J62" s="396"/>
      <c r="K62" s="396"/>
      <c r="L62" s="396"/>
      <c r="M62" s="396"/>
      <c r="N62" s="396"/>
      <c r="O62" s="396"/>
      <c r="P62" s="397">
        <v>3</v>
      </c>
      <c r="Q62" s="397">
        <v>48</v>
      </c>
      <c r="R62" s="397"/>
      <c r="S62" s="397"/>
      <c r="T62" s="240">
        <f>SUM(H62,J62,L62,N62,P62,R62)</f>
        <v>3</v>
      </c>
      <c r="U62" s="241">
        <f>T62*16</f>
        <v>48</v>
      </c>
    </row>
    <row r="63" spans="2:21">
      <c r="B63" s="1057"/>
      <c r="C63" s="1075"/>
      <c r="D63" s="236" t="s">
        <v>785</v>
      </c>
      <c r="E63" s="236" t="s">
        <v>786</v>
      </c>
      <c r="F63" s="236">
        <v>50</v>
      </c>
      <c r="G63" s="236">
        <v>4</v>
      </c>
      <c r="H63" s="394"/>
      <c r="I63" s="394"/>
      <c r="J63" s="394"/>
      <c r="K63" s="394"/>
      <c r="L63" s="394"/>
      <c r="M63" s="394"/>
      <c r="N63" s="394"/>
      <c r="O63" s="394"/>
      <c r="P63" s="257">
        <v>4</v>
      </c>
      <c r="Q63" s="257">
        <v>64</v>
      </c>
      <c r="R63" s="257"/>
      <c r="S63" s="257"/>
      <c r="T63" s="240">
        <f t="shared" ref="T63:T67" si="27">SUM(H63,J63,L63,N63,P63,R63)</f>
        <v>4</v>
      </c>
      <c r="U63" s="241">
        <f t="shared" ref="U63:U67" si="28">T63*16</f>
        <v>64</v>
      </c>
    </row>
    <row r="64" spans="2:21">
      <c r="B64" s="1057"/>
      <c r="C64" s="1075"/>
      <c r="D64" s="236" t="s">
        <v>787</v>
      </c>
      <c r="E64" s="236" t="s">
        <v>788</v>
      </c>
      <c r="F64" s="236">
        <v>50</v>
      </c>
      <c r="G64" s="236">
        <v>2</v>
      </c>
      <c r="H64" s="394"/>
      <c r="I64" s="394"/>
      <c r="J64" s="394"/>
      <c r="K64" s="394"/>
      <c r="L64" s="394"/>
      <c r="M64" s="394"/>
      <c r="N64" s="394"/>
      <c r="O64" s="394"/>
      <c r="P64" s="257">
        <v>3</v>
      </c>
      <c r="Q64" s="257">
        <v>48</v>
      </c>
      <c r="R64" s="257"/>
      <c r="S64" s="257"/>
      <c r="T64" s="240">
        <f t="shared" si="27"/>
        <v>3</v>
      </c>
      <c r="U64" s="241">
        <f t="shared" si="28"/>
        <v>48</v>
      </c>
    </row>
    <row r="65" spans="2:21">
      <c r="B65" s="1057"/>
      <c r="C65" s="1075"/>
      <c r="D65" s="236" t="s">
        <v>789</v>
      </c>
      <c r="E65" s="236" t="s">
        <v>790</v>
      </c>
      <c r="F65" s="236">
        <v>50</v>
      </c>
      <c r="G65" s="236">
        <v>3</v>
      </c>
      <c r="H65" s="394"/>
      <c r="I65" s="394"/>
      <c r="J65" s="394"/>
      <c r="K65" s="394"/>
      <c r="L65" s="394"/>
      <c r="M65" s="394"/>
      <c r="N65" s="394"/>
      <c r="O65" s="394"/>
      <c r="P65" s="257"/>
      <c r="Q65" s="257"/>
      <c r="R65" s="257">
        <v>3</v>
      </c>
      <c r="S65" s="257">
        <v>48</v>
      </c>
      <c r="T65" s="240">
        <f t="shared" si="27"/>
        <v>3</v>
      </c>
      <c r="U65" s="241">
        <f t="shared" si="28"/>
        <v>48</v>
      </c>
    </row>
    <row r="66" spans="2:21">
      <c r="B66" s="1057"/>
      <c r="C66" s="1075"/>
      <c r="D66" s="236" t="s">
        <v>791</v>
      </c>
      <c r="E66" s="236" t="s">
        <v>792</v>
      </c>
      <c r="F66" s="236">
        <v>50</v>
      </c>
      <c r="G66" s="236">
        <v>3</v>
      </c>
      <c r="H66" s="394"/>
      <c r="I66" s="394"/>
      <c r="J66" s="394"/>
      <c r="K66" s="394"/>
      <c r="L66" s="394"/>
      <c r="M66" s="394"/>
      <c r="N66" s="394"/>
      <c r="O66" s="394"/>
      <c r="P66" s="257"/>
      <c r="Q66" s="257"/>
      <c r="R66" s="257">
        <v>4</v>
      </c>
      <c r="S66" s="257">
        <v>64</v>
      </c>
      <c r="T66" s="240">
        <f t="shared" si="27"/>
        <v>4</v>
      </c>
      <c r="U66" s="241">
        <f t="shared" si="28"/>
        <v>64</v>
      </c>
    </row>
    <row r="67" spans="2:21">
      <c r="B67" s="1057"/>
      <c r="C67" s="1075"/>
      <c r="D67" s="236" t="s">
        <v>793</v>
      </c>
      <c r="E67" s="236" t="s">
        <v>794</v>
      </c>
      <c r="F67" s="236">
        <v>50</v>
      </c>
      <c r="G67" s="236">
        <v>4</v>
      </c>
      <c r="H67" s="394"/>
      <c r="I67" s="394"/>
      <c r="J67" s="394"/>
      <c r="K67" s="394"/>
      <c r="L67" s="394"/>
      <c r="M67" s="394"/>
      <c r="N67" s="394"/>
      <c r="O67" s="394"/>
      <c r="P67" s="257"/>
      <c r="Q67" s="257"/>
      <c r="R67" s="257">
        <v>3</v>
      </c>
      <c r="S67" s="257">
        <v>48</v>
      </c>
      <c r="T67" s="240">
        <f t="shared" si="27"/>
        <v>3</v>
      </c>
      <c r="U67" s="241">
        <f t="shared" si="28"/>
        <v>48</v>
      </c>
    </row>
    <row r="68" spans="2:21" ht="18" thickBot="1">
      <c r="B68" s="1057"/>
      <c r="C68" s="1075"/>
      <c r="D68" s="1070" t="s">
        <v>16</v>
      </c>
      <c r="E68" s="1070"/>
      <c r="F68" s="464"/>
      <c r="G68" s="464"/>
      <c r="H68" s="412"/>
      <c r="I68" s="412"/>
      <c r="J68" s="412"/>
      <c r="K68" s="412"/>
      <c r="L68" s="412"/>
      <c r="M68" s="412"/>
      <c r="N68" s="412"/>
      <c r="O68" s="412"/>
      <c r="P68" s="386">
        <f>SUM(P62:P67)</f>
        <v>10</v>
      </c>
      <c r="Q68" s="386">
        <f>SUM(Q62:Q67)</f>
        <v>160</v>
      </c>
      <c r="R68" s="386">
        <f>SUM(R65:R67)</f>
        <v>10</v>
      </c>
      <c r="S68" s="386">
        <f>SUM(S65:S67)</f>
        <v>160</v>
      </c>
      <c r="T68" s="469">
        <v>20</v>
      </c>
      <c r="U68" s="469">
        <v>320</v>
      </c>
    </row>
    <row r="69" spans="2:21">
      <c r="B69" s="1076" t="s">
        <v>795</v>
      </c>
      <c r="C69" s="1077">
        <v>15</v>
      </c>
      <c r="D69" s="298" t="s">
        <v>796</v>
      </c>
      <c r="E69" s="298" t="s">
        <v>797</v>
      </c>
      <c r="F69" s="298" t="s">
        <v>735</v>
      </c>
      <c r="G69" s="298" t="s">
        <v>726</v>
      </c>
      <c r="H69" s="398"/>
      <c r="I69" s="231"/>
      <c r="J69" s="231"/>
      <c r="K69" s="231"/>
      <c r="L69" s="231"/>
      <c r="M69" s="231"/>
      <c r="N69" s="231"/>
      <c r="O69" s="231"/>
      <c r="P69" s="231">
        <v>4</v>
      </c>
      <c r="Q69" s="231">
        <v>64</v>
      </c>
      <c r="R69" s="231"/>
      <c r="S69" s="231"/>
      <c r="T69" s="628">
        <f t="shared" ref="T69:U72" si="29">SUM(H69,J69,L69,N69,P69,R69)</f>
        <v>4</v>
      </c>
      <c r="U69" s="629">
        <f t="shared" si="29"/>
        <v>64</v>
      </c>
    </row>
    <row r="70" spans="2:21">
      <c r="B70" s="1057"/>
      <c r="C70" s="1075"/>
      <c r="D70" s="309" t="s">
        <v>798</v>
      </c>
      <c r="E70" s="309" t="s">
        <v>799</v>
      </c>
      <c r="F70" s="309" t="s">
        <v>735</v>
      </c>
      <c r="G70" s="309" t="s">
        <v>726</v>
      </c>
      <c r="H70" s="399"/>
      <c r="I70" s="362"/>
      <c r="J70" s="362"/>
      <c r="K70" s="362"/>
      <c r="L70" s="362"/>
      <c r="M70" s="362"/>
      <c r="N70" s="362"/>
      <c r="O70" s="362"/>
      <c r="P70" s="362">
        <v>3</v>
      </c>
      <c r="Q70" s="362">
        <v>48</v>
      </c>
      <c r="R70" s="362"/>
      <c r="S70" s="362"/>
      <c r="T70" s="238">
        <f t="shared" si="29"/>
        <v>3</v>
      </c>
      <c r="U70" s="239">
        <f t="shared" si="29"/>
        <v>48</v>
      </c>
    </row>
    <row r="71" spans="2:21">
      <c r="B71" s="1057"/>
      <c r="C71" s="1075"/>
      <c r="D71" s="309" t="s">
        <v>800</v>
      </c>
      <c r="E71" s="309" t="s">
        <v>801</v>
      </c>
      <c r="F71" s="309" t="s">
        <v>735</v>
      </c>
      <c r="G71" s="309" t="s">
        <v>726</v>
      </c>
      <c r="H71" s="399"/>
      <c r="I71" s="362"/>
      <c r="J71" s="362"/>
      <c r="K71" s="362"/>
      <c r="L71" s="362"/>
      <c r="M71" s="362"/>
      <c r="N71" s="362"/>
      <c r="O71" s="362"/>
      <c r="P71" s="362"/>
      <c r="Q71" s="362"/>
      <c r="R71" s="362">
        <v>4</v>
      </c>
      <c r="S71" s="362">
        <v>64</v>
      </c>
      <c r="T71" s="238">
        <f t="shared" si="29"/>
        <v>4</v>
      </c>
      <c r="U71" s="239">
        <f t="shared" si="29"/>
        <v>64</v>
      </c>
    </row>
    <row r="72" spans="2:21">
      <c r="B72" s="1057"/>
      <c r="C72" s="1075"/>
      <c r="D72" s="304" t="s">
        <v>802</v>
      </c>
      <c r="E72" s="304" t="s">
        <v>803</v>
      </c>
      <c r="F72" s="304">
        <v>50</v>
      </c>
      <c r="G72" s="304">
        <v>3</v>
      </c>
      <c r="H72" s="400"/>
      <c r="I72" s="237"/>
      <c r="J72" s="237"/>
      <c r="K72" s="237"/>
      <c r="L72" s="237"/>
      <c r="M72" s="237"/>
      <c r="N72" s="237"/>
      <c r="O72" s="237"/>
      <c r="P72" s="237"/>
      <c r="Q72" s="237"/>
      <c r="R72" s="237">
        <v>4</v>
      </c>
      <c r="S72" s="237">
        <v>64</v>
      </c>
      <c r="T72" s="240">
        <f t="shared" si="29"/>
        <v>4</v>
      </c>
      <c r="U72" s="241">
        <f t="shared" si="29"/>
        <v>64</v>
      </c>
    </row>
    <row r="73" spans="2:21" ht="18" thickBot="1">
      <c r="B73" s="1058"/>
      <c r="C73" s="1078"/>
      <c r="D73" s="973" t="s">
        <v>16</v>
      </c>
      <c r="E73" s="973"/>
      <c r="F73" s="464"/>
      <c r="G73" s="464"/>
      <c r="H73" s="460"/>
      <c r="I73" s="460"/>
      <c r="J73" s="460"/>
      <c r="K73" s="460"/>
      <c r="L73" s="460"/>
      <c r="M73" s="460"/>
      <c r="N73" s="460"/>
      <c r="O73" s="460"/>
      <c r="P73" s="276">
        <f>SUM(P69:P72)</f>
        <v>7</v>
      </c>
      <c r="Q73" s="276">
        <f t="shared" ref="Q73:S73" si="30">SUM(Q69:Q72)</f>
        <v>112</v>
      </c>
      <c r="R73" s="276">
        <f t="shared" si="30"/>
        <v>8</v>
      </c>
      <c r="S73" s="276">
        <f t="shared" si="30"/>
        <v>128</v>
      </c>
      <c r="T73" s="470">
        <v>15</v>
      </c>
      <c r="U73" s="627">
        <v>240</v>
      </c>
    </row>
    <row r="74" spans="2:21">
      <c r="B74" s="1066" t="s">
        <v>804</v>
      </c>
      <c r="C74" s="1072">
        <v>9</v>
      </c>
      <c r="D74" s="476" t="s">
        <v>805</v>
      </c>
      <c r="E74" s="271" t="s">
        <v>806</v>
      </c>
      <c r="F74" s="230">
        <v>40</v>
      </c>
      <c r="G74" s="230">
        <v>3</v>
      </c>
      <c r="H74" s="398"/>
      <c r="I74" s="231"/>
      <c r="J74" s="231"/>
      <c r="K74" s="231"/>
      <c r="L74" s="220">
        <v>2</v>
      </c>
      <c r="M74" s="220">
        <v>32</v>
      </c>
      <c r="N74" s="220"/>
      <c r="O74" s="220"/>
      <c r="P74" s="382"/>
      <c r="Q74" s="382"/>
      <c r="R74" s="231"/>
      <c r="S74" s="231"/>
      <c r="T74" s="232">
        <f t="shared" ref="T74:U77" si="31">SUM(H74,J74,L74,N74,P74,R74)</f>
        <v>2</v>
      </c>
      <c r="U74" s="233">
        <f t="shared" si="31"/>
        <v>32</v>
      </c>
    </row>
    <row r="75" spans="2:21">
      <c r="B75" s="1067"/>
      <c r="C75" s="1073"/>
      <c r="D75" s="450" t="s">
        <v>807</v>
      </c>
      <c r="E75" s="450" t="s">
        <v>808</v>
      </c>
      <c r="F75" s="401">
        <v>50</v>
      </c>
      <c r="G75" s="401">
        <v>3</v>
      </c>
      <c r="H75" s="384"/>
      <c r="I75" s="384"/>
      <c r="J75" s="384"/>
      <c r="K75" s="384"/>
      <c r="L75" s="450">
        <v>3</v>
      </c>
      <c r="M75" s="450">
        <v>48</v>
      </c>
      <c r="N75" s="450"/>
      <c r="O75" s="450"/>
      <c r="P75" s="384"/>
      <c r="Q75" s="384"/>
      <c r="R75" s="237"/>
      <c r="S75" s="237"/>
      <c r="T75" s="238">
        <f t="shared" si="31"/>
        <v>3</v>
      </c>
      <c r="U75" s="239">
        <f t="shared" si="31"/>
        <v>48</v>
      </c>
    </row>
    <row r="76" spans="2:21">
      <c r="B76" s="1067"/>
      <c r="C76" s="1073"/>
      <c r="D76" s="477" t="s">
        <v>809</v>
      </c>
      <c r="E76" s="262" t="s">
        <v>810</v>
      </c>
      <c r="F76" s="236">
        <v>40</v>
      </c>
      <c r="G76" s="236">
        <v>3</v>
      </c>
      <c r="H76" s="402"/>
      <c r="I76" s="237"/>
      <c r="J76" s="237"/>
      <c r="K76" s="237"/>
      <c r="L76" s="224"/>
      <c r="M76" s="224"/>
      <c r="N76" s="224">
        <v>2</v>
      </c>
      <c r="O76" s="224">
        <v>32</v>
      </c>
      <c r="P76" s="384"/>
      <c r="Q76" s="384"/>
      <c r="R76" s="237"/>
      <c r="S76" s="237"/>
      <c r="T76" s="238">
        <f t="shared" si="31"/>
        <v>2</v>
      </c>
      <c r="U76" s="239">
        <f t="shared" si="31"/>
        <v>32</v>
      </c>
    </row>
    <row r="77" spans="2:21">
      <c r="B77" s="1067"/>
      <c r="C77" s="1073"/>
      <c r="D77" s="352" t="s">
        <v>811</v>
      </c>
      <c r="E77" s="352" t="s">
        <v>812</v>
      </c>
      <c r="F77" s="304">
        <v>30</v>
      </c>
      <c r="G77" s="304">
        <v>2</v>
      </c>
      <c r="H77" s="400"/>
      <c r="I77" s="237"/>
      <c r="J77" s="237"/>
      <c r="K77" s="237"/>
      <c r="L77" s="224"/>
      <c r="M77" s="224"/>
      <c r="N77" s="224">
        <v>2</v>
      </c>
      <c r="O77" s="224">
        <v>32</v>
      </c>
      <c r="P77" s="237"/>
      <c r="Q77" s="237"/>
      <c r="R77" s="237"/>
      <c r="S77" s="237"/>
      <c r="T77" s="238">
        <f t="shared" si="31"/>
        <v>2</v>
      </c>
      <c r="U77" s="239">
        <f t="shared" si="31"/>
        <v>32</v>
      </c>
    </row>
    <row r="78" spans="2:21" ht="18" thickBot="1">
      <c r="B78" s="1068"/>
      <c r="C78" s="1079"/>
      <c r="D78" s="1019" t="s">
        <v>16</v>
      </c>
      <c r="E78" s="1019"/>
      <c r="F78" s="412"/>
      <c r="G78" s="412"/>
      <c r="H78" s="412"/>
      <c r="I78" s="412"/>
      <c r="J78" s="412"/>
      <c r="K78" s="412"/>
      <c r="L78" s="340">
        <f>SUM(L74:L77)</f>
        <v>5</v>
      </c>
      <c r="M78" s="340">
        <f t="shared" ref="M78:O78" si="32">SUM(M74:M77)</f>
        <v>80</v>
      </c>
      <c r="N78" s="340">
        <f t="shared" si="32"/>
        <v>4</v>
      </c>
      <c r="O78" s="340">
        <f t="shared" si="32"/>
        <v>64</v>
      </c>
      <c r="P78" s="412"/>
      <c r="Q78" s="412"/>
      <c r="R78" s="412"/>
      <c r="S78" s="412"/>
      <c r="T78" s="469">
        <f t="shared" ref="T78" si="33">SUM(T74:T77)</f>
        <v>9</v>
      </c>
      <c r="U78" s="387">
        <f>SUM(U74:U77)</f>
        <v>144</v>
      </c>
    </row>
    <row r="79" spans="2:21">
      <c r="B79" s="1066" t="s">
        <v>813</v>
      </c>
      <c r="C79" s="1080">
        <v>13</v>
      </c>
      <c r="D79" s="476" t="s">
        <v>762</v>
      </c>
      <c r="E79" s="476" t="s">
        <v>763</v>
      </c>
      <c r="F79" s="385">
        <v>50</v>
      </c>
      <c r="G79" s="385">
        <v>2</v>
      </c>
      <c r="H79" s="231"/>
      <c r="I79" s="231"/>
      <c r="J79" s="231"/>
      <c r="K79" s="231"/>
      <c r="L79" s="454">
        <v>3</v>
      </c>
      <c r="M79" s="454">
        <v>48</v>
      </c>
      <c r="N79" s="220"/>
      <c r="O79" s="220"/>
      <c r="P79" s="231"/>
      <c r="Q79" s="231"/>
      <c r="R79" s="231"/>
      <c r="S79" s="231"/>
      <c r="T79" s="471">
        <f t="shared" ref="T79:U83" si="34">SUM(H79,J79,L79,N79,P79,R79)</f>
        <v>3</v>
      </c>
      <c r="U79" s="472">
        <f t="shared" si="34"/>
        <v>48</v>
      </c>
    </row>
    <row r="80" spans="2:21">
      <c r="B80" s="1067"/>
      <c r="C80" s="1017"/>
      <c r="D80" s="477" t="s">
        <v>764</v>
      </c>
      <c r="E80" s="477" t="s">
        <v>765</v>
      </c>
      <c r="F80" s="365">
        <v>50</v>
      </c>
      <c r="G80" s="365">
        <v>2</v>
      </c>
      <c r="H80" s="237"/>
      <c r="I80" s="237"/>
      <c r="J80" s="237"/>
      <c r="K80" s="237"/>
      <c r="L80" s="450">
        <v>3</v>
      </c>
      <c r="M80" s="450">
        <v>48</v>
      </c>
      <c r="N80" s="332"/>
      <c r="O80" s="224"/>
      <c r="P80" s="237"/>
      <c r="Q80" s="237"/>
      <c r="R80" s="237"/>
      <c r="S80" s="237"/>
      <c r="T80" s="30">
        <f t="shared" si="34"/>
        <v>3</v>
      </c>
      <c r="U80" s="29">
        <f t="shared" si="34"/>
        <v>48</v>
      </c>
    </row>
    <row r="81" spans="2:21">
      <c r="B81" s="1067"/>
      <c r="C81" s="1017"/>
      <c r="D81" s="477" t="s">
        <v>768</v>
      </c>
      <c r="E81" s="477" t="s">
        <v>769</v>
      </c>
      <c r="F81" s="365">
        <v>40</v>
      </c>
      <c r="G81" s="365">
        <v>2</v>
      </c>
      <c r="H81" s="237"/>
      <c r="I81" s="237"/>
      <c r="J81" s="237"/>
      <c r="K81" s="237"/>
      <c r="L81" s="224"/>
      <c r="M81" s="224"/>
      <c r="N81" s="450">
        <v>3</v>
      </c>
      <c r="O81" s="450">
        <v>48</v>
      </c>
      <c r="P81" s="237"/>
      <c r="Q81" s="237"/>
      <c r="R81" s="237"/>
      <c r="S81" s="237"/>
      <c r="T81" s="30">
        <f t="shared" si="34"/>
        <v>3</v>
      </c>
      <c r="U81" s="29">
        <f t="shared" si="34"/>
        <v>48</v>
      </c>
    </row>
    <row r="82" spans="2:21">
      <c r="B82" s="1067"/>
      <c r="C82" s="1017"/>
      <c r="D82" s="477" t="s">
        <v>814</v>
      </c>
      <c r="E82" s="450" t="s">
        <v>815</v>
      </c>
      <c r="F82" s="401">
        <v>50</v>
      </c>
      <c r="G82" s="401">
        <v>2</v>
      </c>
      <c r="H82" s="237"/>
      <c r="I82" s="237"/>
      <c r="J82" s="237"/>
      <c r="K82" s="237"/>
      <c r="L82" s="224"/>
      <c r="M82" s="224"/>
      <c r="N82" s="450">
        <v>2</v>
      </c>
      <c r="O82" s="450">
        <v>32</v>
      </c>
      <c r="P82" s="237"/>
      <c r="Q82" s="237"/>
      <c r="R82" s="237"/>
      <c r="S82" s="237"/>
      <c r="T82" s="30">
        <f t="shared" si="34"/>
        <v>2</v>
      </c>
      <c r="U82" s="29">
        <f t="shared" si="34"/>
        <v>32</v>
      </c>
    </row>
    <row r="83" spans="2:21">
      <c r="B83" s="1067"/>
      <c r="C83" s="1017"/>
      <c r="D83" s="477" t="s">
        <v>816</v>
      </c>
      <c r="E83" s="262" t="s">
        <v>772</v>
      </c>
      <c r="F83" s="236">
        <v>30</v>
      </c>
      <c r="G83" s="236">
        <v>2</v>
      </c>
      <c r="H83" s="237"/>
      <c r="I83" s="237"/>
      <c r="J83" s="237"/>
      <c r="K83" s="237"/>
      <c r="L83" s="224"/>
      <c r="M83" s="224"/>
      <c r="N83" s="224">
        <v>2</v>
      </c>
      <c r="O83" s="224">
        <v>32</v>
      </c>
      <c r="P83" s="237"/>
      <c r="Q83" s="237"/>
      <c r="R83" s="237"/>
      <c r="S83" s="237"/>
      <c r="T83" s="30">
        <f t="shared" si="34"/>
        <v>2</v>
      </c>
      <c r="U83" s="29">
        <f t="shared" si="34"/>
        <v>32</v>
      </c>
    </row>
    <row r="84" spans="2:21" ht="18" thickBot="1">
      <c r="B84" s="1068"/>
      <c r="C84" s="1018"/>
      <c r="D84" s="1019" t="s">
        <v>16</v>
      </c>
      <c r="E84" s="1019"/>
      <c r="F84" s="464"/>
      <c r="G84" s="464"/>
      <c r="H84" s="412"/>
      <c r="I84" s="412"/>
      <c r="J84" s="412"/>
      <c r="K84" s="412"/>
      <c r="L84" s="412">
        <f>SUM(L79:L83)</f>
        <v>6</v>
      </c>
      <c r="M84" s="461">
        <f t="shared" ref="M84:O84" si="35">SUM(M79:M83)</f>
        <v>96</v>
      </c>
      <c r="N84" s="461">
        <f t="shared" si="35"/>
        <v>7</v>
      </c>
      <c r="O84" s="461">
        <f t="shared" si="35"/>
        <v>112</v>
      </c>
      <c r="P84" s="412"/>
      <c r="Q84" s="412"/>
      <c r="R84" s="412"/>
      <c r="S84" s="412"/>
      <c r="T84" s="469">
        <f t="shared" ref="T84:U84" si="36">SUM(T79:T83)</f>
        <v>13</v>
      </c>
      <c r="U84" s="469">
        <f t="shared" si="36"/>
        <v>208</v>
      </c>
    </row>
    <row r="85" spans="2:21">
      <c r="B85" s="1066" t="s">
        <v>817</v>
      </c>
      <c r="C85" s="1080">
        <v>19</v>
      </c>
      <c r="D85" s="478" t="s">
        <v>774</v>
      </c>
      <c r="E85" s="478" t="s">
        <v>775</v>
      </c>
      <c r="F85" s="389">
        <v>40</v>
      </c>
      <c r="G85" s="389">
        <v>3</v>
      </c>
      <c r="H85" s="404"/>
      <c r="I85" s="404"/>
      <c r="J85" s="404"/>
      <c r="K85" s="404"/>
      <c r="L85" s="404"/>
      <c r="M85" s="404"/>
      <c r="N85" s="404"/>
      <c r="O85" s="404"/>
      <c r="P85" s="220">
        <v>3</v>
      </c>
      <c r="Q85" s="220">
        <v>48</v>
      </c>
      <c r="R85" s="220"/>
      <c r="S85" s="220"/>
      <c r="T85" s="232">
        <f>SUM(H85,J85,L85,N85,P85,R85)</f>
        <v>3</v>
      </c>
      <c r="U85" s="233">
        <f>SUM(I85,K85,M85,O85,Q85,S85)</f>
        <v>48</v>
      </c>
    </row>
    <row r="86" spans="2:21">
      <c r="B86" s="1067"/>
      <c r="C86" s="1017"/>
      <c r="D86" s="479" t="s">
        <v>898</v>
      </c>
      <c r="E86" s="479" t="s">
        <v>776</v>
      </c>
      <c r="F86" s="393">
        <v>60</v>
      </c>
      <c r="G86" s="393">
        <v>2</v>
      </c>
      <c r="H86" s="403"/>
      <c r="I86" s="403"/>
      <c r="J86" s="403"/>
      <c r="K86" s="403"/>
      <c r="L86" s="403"/>
      <c r="M86" s="403"/>
      <c r="N86" s="403"/>
      <c r="O86" s="403"/>
      <c r="P86" s="224">
        <v>5</v>
      </c>
      <c r="Q86" s="224">
        <v>80</v>
      </c>
      <c r="R86" s="224"/>
      <c r="S86" s="224"/>
      <c r="T86" s="238">
        <f t="shared" ref="T86:T88" si="37">SUM(H86,J86,L86,N86,P86,R86)</f>
        <v>5</v>
      </c>
      <c r="U86" s="239">
        <f>SUM(I86,K86,M86,O86,Q86,S86)</f>
        <v>80</v>
      </c>
    </row>
    <row r="87" spans="2:21">
      <c r="B87" s="1067"/>
      <c r="C87" s="1017"/>
      <c r="D87" s="479" t="s">
        <v>892</v>
      </c>
      <c r="E87" s="479" t="s">
        <v>778</v>
      </c>
      <c r="F87" s="393">
        <v>60</v>
      </c>
      <c r="G87" s="393">
        <v>3</v>
      </c>
      <c r="H87" s="403"/>
      <c r="I87" s="403"/>
      <c r="J87" s="403"/>
      <c r="K87" s="403"/>
      <c r="L87" s="403"/>
      <c r="M87" s="403"/>
      <c r="N87" s="403"/>
      <c r="O87" s="403"/>
      <c r="P87" s="332"/>
      <c r="Q87" s="332"/>
      <c r="R87" s="224">
        <v>6</v>
      </c>
      <c r="S87" s="224">
        <f>R87*16</f>
        <v>96</v>
      </c>
      <c r="T87" s="238">
        <f t="shared" si="37"/>
        <v>6</v>
      </c>
      <c r="U87" s="239">
        <f>SUM(I87,K87,M87,O87,Q87,S87)</f>
        <v>96</v>
      </c>
    </row>
    <row r="88" spans="2:21">
      <c r="B88" s="1067"/>
      <c r="C88" s="1017"/>
      <c r="D88" s="479" t="s">
        <v>779</v>
      </c>
      <c r="E88" s="479" t="s">
        <v>780</v>
      </c>
      <c r="F88" s="393">
        <v>60</v>
      </c>
      <c r="G88" s="393">
        <v>4</v>
      </c>
      <c r="H88" s="403"/>
      <c r="I88" s="403"/>
      <c r="J88" s="403"/>
      <c r="K88" s="403"/>
      <c r="L88" s="403"/>
      <c r="M88" s="403"/>
      <c r="N88" s="403"/>
      <c r="O88" s="403"/>
      <c r="P88" s="332"/>
      <c r="Q88" s="332"/>
      <c r="R88" s="224">
        <v>5</v>
      </c>
      <c r="S88" s="224">
        <f>R88*16</f>
        <v>80</v>
      </c>
      <c r="T88" s="238">
        <f t="shared" si="37"/>
        <v>5</v>
      </c>
      <c r="U88" s="239">
        <f>SUM(I88,K88,M88,O88,Q88,S88)</f>
        <v>80</v>
      </c>
    </row>
    <row r="89" spans="2:21" ht="18" thickBot="1">
      <c r="B89" s="1068"/>
      <c r="C89" s="1018"/>
      <c r="D89" s="1011" t="s">
        <v>16</v>
      </c>
      <c r="E89" s="1012"/>
      <c r="F89" s="410"/>
      <c r="G89" s="410"/>
      <c r="H89" s="386"/>
      <c r="I89" s="386"/>
      <c r="J89" s="386"/>
      <c r="K89" s="386"/>
      <c r="L89" s="386"/>
      <c r="M89" s="386"/>
      <c r="N89" s="386"/>
      <c r="O89" s="386"/>
      <c r="P89" s="386">
        <f>SUM(P85:P88)</f>
        <v>8</v>
      </c>
      <c r="Q89" s="386">
        <f t="shared" ref="Q89:S89" si="38">SUM(Q85:Q88)</f>
        <v>128</v>
      </c>
      <c r="R89" s="386">
        <f t="shared" si="38"/>
        <v>11</v>
      </c>
      <c r="S89" s="386">
        <f t="shared" si="38"/>
        <v>176</v>
      </c>
      <c r="T89" s="387">
        <f t="shared" ref="T89:U89" si="39">SUM(T85:T88)</f>
        <v>19</v>
      </c>
      <c r="U89" s="388">
        <f t="shared" si="39"/>
        <v>304</v>
      </c>
    </row>
    <row r="90" spans="2:21">
      <c r="B90" s="1066" t="s">
        <v>818</v>
      </c>
      <c r="C90" s="1016">
        <v>23</v>
      </c>
      <c r="D90" s="478" t="s">
        <v>819</v>
      </c>
      <c r="E90" s="454" t="s">
        <v>820</v>
      </c>
      <c r="F90" s="405">
        <v>40</v>
      </c>
      <c r="G90" s="405">
        <v>2</v>
      </c>
      <c r="H90" s="398"/>
      <c r="I90" s="231"/>
      <c r="J90" s="231"/>
      <c r="K90" s="231"/>
      <c r="L90" s="231"/>
      <c r="M90" s="231"/>
      <c r="N90" s="231"/>
      <c r="O90" s="231"/>
      <c r="P90" s="405">
        <v>4</v>
      </c>
      <c r="Q90" s="405">
        <v>64</v>
      </c>
      <c r="R90" s="231"/>
      <c r="S90" s="231"/>
      <c r="T90" s="232">
        <f t="shared" ref="T90:U93" si="40">SUM(H90,J90,L90,N90,P90,R90)</f>
        <v>4</v>
      </c>
      <c r="U90" s="233">
        <f t="shared" si="40"/>
        <v>64</v>
      </c>
    </row>
    <row r="91" spans="2:21">
      <c r="B91" s="1067"/>
      <c r="C91" s="1017"/>
      <c r="D91" s="479" t="s">
        <v>821</v>
      </c>
      <c r="E91" s="450" t="s">
        <v>822</v>
      </c>
      <c r="F91" s="401">
        <v>40</v>
      </c>
      <c r="G91" s="401">
        <v>2</v>
      </c>
      <c r="H91" s="402"/>
      <c r="I91" s="237"/>
      <c r="J91" s="237"/>
      <c r="K91" s="237"/>
      <c r="L91" s="237"/>
      <c r="M91" s="237"/>
      <c r="N91" s="237"/>
      <c r="O91" s="237"/>
      <c r="P91" s="401">
        <v>4</v>
      </c>
      <c r="Q91" s="401">
        <v>64</v>
      </c>
      <c r="R91" s="237"/>
      <c r="S91" s="237"/>
      <c r="T91" s="238">
        <f t="shared" si="40"/>
        <v>4</v>
      </c>
      <c r="U91" s="239">
        <f t="shared" si="40"/>
        <v>64</v>
      </c>
    </row>
    <row r="92" spans="2:21">
      <c r="B92" s="1067"/>
      <c r="C92" s="1017"/>
      <c r="D92" s="351" t="s">
        <v>823</v>
      </c>
      <c r="E92" s="352" t="s">
        <v>824</v>
      </c>
      <c r="F92" s="304">
        <v>20</v>
      </c>
      <c r="G92" s="304">
        <v>2</v>
      </c>
      <c r="H92" s="402"/>
      <c r="I92" s="237"/>
      <c r="J92" s="237"/>
      <c r="K92" s="237"/>
      <c r="L92" s="237"/>
      <c r="M92" s="237"/>
      <c r="N92" s="237"/>
      <c r="O92" s="237"/>
      <c r="P92" s="237">
        <v>3</v>
      </c>
      <c r="Q92" s="237">
        <v>48</v>
      </c>
      <c r="R92" s="237"/>
      <c r="S92" s="237"/>
      <c r="T92" s="238">
        <f t="shared" si="40"/>
        <v>3</v>
      </c>
      <c r="U92" s="239">
        <f t="shared" si="40"/>
        <v>48</v>
      </c>
    </row>
    <row r="93" spans="2:21">
      <c r="B93" s="1067"/>
      <c r="C93" s="1017"/>
      <c r="D93" s="348" t="s">
        <v>825</v>
      </c>
      <c r="E93" s="349" t="s">
        <v>826</v>
      </c>
      <c r="F93" s="407"/>
      <c r="G93" s="407"/>
      <c r="H93" s="402"/>
      <c r="I93" s="237"/>
      <c r="J93" s="237"/>
      <c r="K93" s="237"/>
      <c r="L93" s="237"/>
      <c r="M93" s="237"/>
      <c r="N93" s="237"/>
      <c r="O93" s="237"/>
      <c r="P93" s="237"/>
      <c r="Q93" s="237"/>
      <c r="R93" s="237">
        <v>12</v>
      </c>
      <c r="S93" s="237">
        <f>R93*16</f>
        <v>192</v>
      </c>
      <c r="T93" s="238">
        <f t="shared" si="40"/>
        <v>12</v>
      </c>
      <c r="U93" s="239">
        <f>SUM(I93,K93,M93,O93,Q93,S93)</f>
        <v>192</v>
      </c>
    </row>
    <row r="94" spans="2:21" ht="18" thickBot="1">
      <c r="B94" s="1082"/>
      <c r="C94" s="1029"/>
      <c r="D94" s="992" t="s">
        <v>16</v>
      </c>
      <c r="E94" s="992"/>
      <c r="F94" s="409"/>
      <c r="G94" s="409"/>
      <c r="H94" s="276"/>
      <c r="I94" s="276"/>
      <c r="J94" s="276"/>
      <c r="K94" s="276"/>
      <c r="L94" s="276">
        <f>SUM(L90:L93)</f>
        <v>0</v>
      </c>
      <c r="M94" s="276">
        <f t="shared" ref="M94:O94" si="41">SUM(M90:M93)</f>
        <v>0</v>
      </c>
      <c r="N94" s="276">
        <f t="shared" si="41"/>
        <v>0</v>
      </c>
      <c r="O94" s="276">
        <f t="shared" si="41"/>
        <v>0</v>
      </c>
      <c r="P94" s="276">
        <f>SUM(P90:P93)</f>
        <v>11</v>
      </c>
      <c r="Q94" s="276">
        <f t="shared" ref="Q94:S94" si="42">SUM(Q90:Q93)</f>
        <v>176</v>
      </c>
      <c r="R94" s="276">
        <f t="shared" si="42"/>
        <v>12</v>
      </c>
      <c r="S94" s="276">
        <f t="shared" si="42"/>
        <v>192</v>
      </c>
      <c r="T94" s="353">
        <f>SUM(T90:T93)</f>
        <v>23</v>
      </c>
      <c r="U94" s="354">
        <f>SUM(U90:U93)</f>
        <v>368</v>
      </c>
    </row>
    <row r="95" spans="2:21">
      <c r="B95" s="1081" t="s">
        <v>827</v>
      </c>
      <c r="C95" s="1083">
        <v>12</v>
      </c>
      <c r="D95" s="480" t="s">
        <v>755</v>
      </c>
      <c r="E95" s="323" t="s">
        <v>756</v>
      </c>
      <c r="F95" s="278">
        <v>45</v>
      </c>
      <c r="G95" s="278">
        <v>4</v>
      </c>
      <c r="H95" s="408"/>
      <c r="I95" s="362"/>
      <c r="J95" s="362"/>
      <c r="K95" s="362"/>
      <c r="L95" s="362"/>
      <c r="M95" s="362"/>
      <c r="N95" s="362"/>
      <c r="O95" s="362"/>
      <c r="P95" s="362">
        <v>6</v>
      </c>
      <c r="Q95" s="362">
        <v>96</v>
      </c>
      <c r="R95" s="362"/>
      <c r="S95" s="362"/>
      <c r="T95" s="240">
        <f t="shared" ref="T95:T97" si="43">SUM(H95,J95,L95,N95,P95,R95)</f>
        <v>6</v>
      </c>
      <c r="U95" s="241">
        <f>SUM(I95,K95,M95,O95,Q95,S95)</f>
        <v>96</v>
      </c>
    </row>
    <row r="96" spans="2:21">
      <c r="B96" s="1081"/>
      <c r="C96" s="1083"/>
      <c r="D96" s="261" t="s">
        <v>757</v>
      </c>
      <c r="E96" s="262" t="s">
        <v>758</v>
      </c>
      <c r="F96" s="278">
        <v>60</v>
      </c>
      <c r="G96" s="278">
        <v>2</v>
      </c>
      <c r="H96" s="408"/>
      <c r="I96" s="362"/>
      <c r="J96" s="362"/>
      <c r="K96" s="362"/>
      <c r="L96" s="362"/>
      <c r="M96" s="362"/>
      <c r="N96" s="362"/>
      <c r="O96" s="362"/>
      <c r="P96" s="362"/>
      <c r="Q96" s="362"/>
      <c r="R96" s="330">
        <v>3</v>
      </c>
      <c r="S96" s="330">
        <v>48</v>
      </c>
      <c r="T96" s="240">
        <v>3</v>
      </c>
      <c r="U96" s="241">
        <f t="shared" ref="U96:U97" si="44">SUM(I96,K96,M96,O96,Q96,S96)</f>
        <v>48</v>
      </c>
    </row>
    <row r="97" spans="2:21">
      <c r="B97" s="1067"/>
      <c r="C97" s="1017"/>
      <c r="D97" s="261" t="s">
        <v>828</v>
      </c>
      <c r="E97" s="262" t="s">
        <v>829</v>
      </c>
      <c r="F97" s="236">
        <v>45</v>
      </c>
      <c r="G97" s="236">
        <v>4</v>
      </c>
      <c r="H97" s="384"/>
      <c r="I97" s="237"/>
      <c r="J97" s="237"/>
      <c r="K97" s="237"/>
      <c r="L97" s="237"/>
      <c r="M97" s="237"/>
      <c r="N97" s="237"/>
      <c r="O97" s="237"/>
      <c r="P97" s="237"/>
      <c r="Q97" s="237"/>
      <c r="R97" s="224">
        <v>3</v>
      </c>
      <c r="S97" s="224">
        <v>48</v>
      </c>
      <c r="T97" s="238">
        <f t="shared" si="43"/>
        <v>3</v>
      </c>
      <c r="U97" s="241">
        <f t="shared" si="44"/>
        <v>48</v>
      </c>
    </row>
    <row r="98" spans="2:21" ht="18" thickBot="1">
      <c r="B98" s="1082"/>
      <c r="C98" s="1029"/>
      <c r="D98" s="992" t="s">
        <v>16</v>
      </c>
      <c r="E98" s="992"/>
      <c r="F98" s="409"/>
      <c r="G98" s="409"/>
      <c r="H98" s="276"/>
      <c r="I98" s="276"/>
      <c r="J98" s="276"/>
      <c r="K98" s="276"/>
      <c r="L98" s="276">
        <f>SUM(L95:L97)</f>
        <v>0</v>
      </c>
      <c r="M98" s="276">
        <f>SUM(M95:M97)</f>
        <v>0</v>
      </c>
      <c r="N98" s="276">
        <f>SUM(N95:N97)</f>
        <v>0</v>
      </c>
      <c r="O98" s="276">
        <f>SUM(O95:O97)</f>
        <v>0</v>
      </c>
      <c r="P98" s="276">
        <f>SUM(P95:P97)</f>
        <v>6</v>
      </c>
      <c r="Q98" s="276">
        <f t="shared" ref="Q98:S98" si="45">SUM(Q95:Q97)</f>
        <v>96</v>
      </c>
      <c r="R98" s="276">
        <f t="shared" si="45"/>
        <v>6</v>
      </c>
      <c r="S98" s="276">
        <f t="shared" si="45"/>
        <v>96</v>
      </c>
      <c r="T98" s="353">
        <f>SUM(T95:T97)</f>
        <v>12</v>
      </c>
      <c r="U98" s="354">
        <f>SUM(U95:U97)</f>
        <v>192</v>
      </c>
    </row>
  </sheetData>
  <mergeCells count="81">
    <mergeCell ref="B95:B98"/>
    <mergeCell ref="C95:C98"/>
    <mergeCell ref="D98:E98"/>
    <mergeCell ref="B85:B89"/>
    <mergeCell ref="C85:C89"/>
    <mergeCell ref="D89:E89"/>
    <mergeCell ref="B90:B94"/>
    <mergeCell ref="C90:C94"/>
    <mergeCell ref="D94:E94"/>
    <mergeCell ref="B74:B78"/>
    <mergeCell ref="C74:C78"/>
    <mergeCell ref="D78:E78"/>
    <mergeCell ref="B79:B84"/>
    <mergeCell ref="C79:C84"/>
    <mergeCell ref="D84:E84"/>
    <mergeCell ref="B62:B68"/>
    <mergeCell ref="C62:C68"/>
    <mergeCell ref="D68:E68"/>
    <mergeCell ref="B69:B73"/>
    <mergeCell ref="C69:C73"/>
    <mergeCell ref="D73:E73"/>
    <mergeCell ref="B54:B56"/>
    <mergeCell ref="C54:C56"/>
    <mergeCell ref="D56:E56"/>
    <mergeCell ref="B57:B61"/>
    <mergeCell ref="C57:C61"/>
    <mergeCell ref="D61:E61"/>
    <mergeCell ref="B44:B46"/>
    <mergeCell ref="C44:C46"/>
    <mergeCell ref="D46:E46"/>
    <mergeCell ref="B47:B53"/>
    <mergeCell ref="C47:C53"/>
    <mergeCell ref="D53:E53"/>
    <mergeCell ref="B34:B38"/>
    <mergeCell ref="C34:C38"/>
    <mergeCell ref="D38:E38"/>
    <mergeCell ref="B39:B43"/>
    <mergeCell ref="C39:C43"/>
    <mergeCell ref="D43:E43"/>
    <mergeCell ref="B25:B28"/>
    <mergeCell ref="C25:C28"/>
    <mergeCell ref="D28:E28"/>
    <mergeCell ref="B29:B33"/>
    <mergeCell ref="C29:C33"/>
    <mergeCell ref="D33:E33"/>
    <mergeCell ref="H7:I7"/>
    <mergeCell ref="J7:K7"/>
    <mergeCell ref="B20:B24"/>
    <mergeCell ref="C20:C24"/>
    <mergeCell ref="D24:E24"/>
    <mergeCell ref="B14:B19"/>
    <mergeCell ref="C14:C19"/>
    <mergeCell ref="D19:E19"/>
    <mergeCell ref="F6:F8"/>
    <mergeCell ref="G6:G8"/>
    <mergeCell ref="B9:B13"/>
    <mergeCell ref="C9:C13"/>
    <mergeCell ref="D13:E13"/>
    <mergeCell ref="H6:K6"/>
    <mergeCell ref="U6:U8"/>
    <mergeCell ref="W6:AF6"/>
    <mergeCell ref="L7:M7"/>
    <mergeCell ref="N7:O7"/>
    <mergeCell ref="P7:Q7"/>
    <mergeCell ref="R7:S7"/>
    <mergeCell ref="W7:AF7"/>
    <mergeCell ref="L6:O6"/>
    <mergeCell ref="P6:S6"/>
    <mergeCell ref="T6:T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</mergeCells>
  <phoneticPr fontId="9" type="noConversion"/>
  <pageMargins left="0.70866141732283472" right="0.70866141732283472" top="0.74803149606299213" bottom="0.74803149606299213" header="0.31496062992125984" footer="0.31496062992125984"/>
  <pageSetup paperSize="12" scale="31" orientation="portrait" cellComments="asDisplayed" r:id="rId1"/>
  <ignoredErrors>
    <ignoredError sqref="T13:U33 U38:U39 T85:U95 T84:U84 T80:U83 U43:U44 U46 T43 T38:T42 T44:T61 U56 T79:U79 U61:U78" formula="1"/>
    <ignoredError sqref="R52:S53" formulaRange="1"/>
    <ignoredError sqref="T78" formula="1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0C0F-6A1D-47BC-8B6F-4CED7F6E0E61}">
  <sheetPr>
    <pageSetUpPr fitToPage="1"/>
  </sheetPr>
  <dimension ref="B2:AG75"/>
  <sheetViews>
    <sheetView showGridLines="0" topLeftCell="A44" zoomScale="85" zoomScaleNormal="85" zoomScaleSheetLayoutView="85" workbookViewId="0">
      <selection activeCell="B58" sqref="B58:B62"/>
    </sheetView>
  </sheetViews>
  <sheetFormatPr defaultRowHeight="17.399999999999999"/>
  <cols>
    <col min="1" max="1" width="3" customWidth="1"/>
    <col min="2" max="2" width="29.796875" customWidth="1"/>
    <col min="3" max="3" width="5.59765625" customWidth="1"/>
    <col min="4" max="4" width="38" customWidth="1"/>
    <col min="5" max="5" width="19" style="1" bestFit="1" customWidth="1"/>
    <col min="6" max="6" width="9.09765625" style="1" customWidth="1"/>
    <col min="7" max="7" width="10.69921875" customWidth="1"/>
    <col min="8" max="16" width="7.69921875" bestFit="1" customWidth="1"/>
    <col min="17" max="17" width="7.69921875" customWidth="1"/>
    <col min="18" max="19" width="7.69921875" bestFit="1" customWidth="1"/>
    <col min="20" max="21" width="9.69921875" customWidth="1"/>
  </cols>
  <sheetData>
    <row r="2" spans="2:33" ht="39.75" customHeight="1" thickBot="1">
      <c r="B2" s="988" t="s">
        <v>151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</row>
    <row r="3" spans="2:33" ht="27" customHeight="1"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040" t="s">
        <v>129</v>
      </c>
      <c r="O3" s="1041"/>
      <c r="P3" s="1041"/>
      <c r="Q3" s="1041" t="s">
        <v>127</v>
      </c>
      <c r="R3" s="1041"/>
      <c r="S3" s="1041"/>
      <c r="T3" s="1041" t="s">
        <v>130</v>
      </c>
      <c r="U3" s="1042"/>
    </row>
    <row r="4" spans="2:33" ht="27" customHeight="1" thickBot="1"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043" t="s">
        <v>507</v>
      </c>
      <c r="O4" s="1044"/>
      <c r="P4" s="1044"/>
      <c r="Q4" s="1045" t="s">
        <v>566</v>
      </c>
      <c r="R4" s="1045"/>
      <c r="S4" s="1045"/>
      <c r="T4" s="1045">
        <v>2027</v>
      </c>
      <c r="U4" s="1046"/>
    </row>
    <row r="5" spans="2:33" ht="24" customHeight="1" thickBot="1">
      <c r="B5" s="1030"/>
      <c r="C5" s="1030"/>
    </row>
    <row r="6" spans="2:33" ht="20.25" customHeight="1">
      <c r="B6" s="1031" t="s">
        <v>13</v>
      </c>
      <c r="C6" s="1034" t="s">
        <v>140</v>
      </c>
      <c r="D6" s="1037" t="s">
        <v>14</v>
      </c>
      <c r="E6" s="1037" t="s">
        <v>15</v>
      </c>
      <c r="F6" s="1084" t="s">
        <v>141</v>
      </c>
      <c r="G6" s="1037" t="s">
        <v>142</v>
      </c>
      <c r="H6" s="956" t="s">
        <v>58</v>
      </c>
      <c r="I6" s="956"/>
      <c r="J6" s="956"/>
      <c r="K6" s="956"/>
      <c r="L6" s="956" t="s">
        <v>59</v>
      </c>
      <c r="M6" s="956"/>
      <c r="N6" s="956"/>
      <c r="O6" s="956"/>
      <c r="P6" s="956" t="s">
        <v>60</v>
      </c>
      <c r="Q6" s="956"/>
      <c r="R6" s="956"/>
      <c r="S6" s="956"/>
      <c r="T6" s="964" t="s">
        <v>139</v>
      </c>
      <c r="U6" s="957" t="s">
        <v>126</v>
      </c>
      <c r="W6" s="960" t="s">
        <v>131</v>
      </c>
      <c r="X6" s="961"/>
      <c r="Y6" s="961"/>
      <c r="Z6" s="961"/>
      <c r="AA6" s="961"/>
      <c r="AB6" s="961"/>
      <c r="AC6" s="961"/>
      <c r="AD6" s="961"/>
      <c r="AE6" s="961"/>
      <c r="AF6" s="962"/>
      <c r="AG6" s="357"/>
    </row>
    <row r="7" spans="2:33" ht="16.5" customHeight="1">
      <c r="B7" s="1032"/>
      <c r="C7" s="1035"/>
      <c r="D7" s="1038"/>
      <c r="E7" s="1038"/>
      <c r="F7" s="1085"/>
      <c r="G7" s="1038"/>
      <c r="H7" s="963" t="s">
        <v>124</v>
      </c>
      <c r="I7" s="963"/>
      <c r="J7" s="963" t="s">
        <v>62</v>
      </c>
      <c r="K7" s="963"/>
      <c r="L7" s="963" t="s">
        <v>124</v>
      </c>
      <c r="M7" s="963"/>
      <c r="N7" s="963" t="s">
        <v>62</v>
      </c>
      <c r="O7" s="963"/>
      <c r="P7" s="963" t="s">
        <v>124</v>
      </c>
      <c r="Q7" s="963"/>
      <c r="R7" s="963" t="s">
        <v>62</v>
      </c>
      <c r="S7" s="963"/>
      <c r="T7" s="965"/>
      <c r="U7" s="958"/>
      <c r="W7" s="950" t="s">
        <v>132</v>
      </c>
      <c r="X7" s="1047"/>
      <c r="Y7" s="1047"/>
      <c r="Z7" s="1047"/>
      <c r="AA7" s="1047"/>
      <c r="AB7" s="1047"/>
      <c r="AC7" s="1047"/>
      <c r="AD7" s="1047"/>
      <c r="AE7" s="1047"/>
      <c r="AF7" s="952"/>
      <c r="AG7" s="357"/>
    </row>
    <row r="8" spans="2:33" ht="17.25" customHeight="1" thickBot="1">
      <c r="B8" s="1033"/>
      <c r="C8" s="1036"/>
      <c r="D8" s="1039"/>
      <c r="E8" s="1039"/>
      <c r="F8" s="1086"/>
      <c r="G8" s="1039"/>
      <c r="H8" s="358" t="s">
        <v>138</v>
      </c>
      <c r="I8" s="358" t="s">
        <v>125</v>
      </c>
      <c r="J8" s="358" t="s">
        <v>138</v>
      </c>
      <c r="K8" s="358" t="s">
        <v>125</v>
      </c>
      <c r="L8" s="358" t="s">
        <v>138</v>
      </c>
      <c r="M8" s="358" t="s">
        <v>125</v>
      </c>
      <c r="N8" s="358" t="s">
        <v>138</v>
      </c>
      <c r="O8" s="358" t="s">
        <v>125</v>
      </c>
      <c r="P8" s="358" t="s">
        <v>138</v>
      </c>
      <c r="Q8" s="358" t="s">
        <v>125</v>
      </c>
      <c r="R8" s="358" t="s">
        <v>138</v>
      </c>
      <c r="S8" s="358" t="s">
        <v>125</v>
      </c>
      <c r="T8" s="966"/>
      <c r="U8" s="959"/>
      <c r="W8" s="14"/>
      <c r="X8" s="359"/>
      <c r="Y8" s="359"/>
      <c r="Z8" s="359"/>
      <c r="AA8" s="359"/>
      <c r="AB8" s="359"/>
      <c r="AC8" s="359"/>
      <c r="AD8" s="359"/>
      <c r="AE8" s="359"/>
      <c r="AF8" s="16"/>
      <c r="AG8" s="357"/>
    </row>
    <row r="9" spans="2:33">
      <c r="B9" s="1087" t="s">
        <v>832</v>
      </c>
      <c r="C9" s="1089">
        <f>T11</f>
        <v>11</v>
      </c>
      <c r="D9" s="417" t="s">
        <v>833</v>
      </c>
      <c r="E9" s="418" t="s">
        <v>834</v>
      </c>
      <c r="F9" s="419">
        <f>U9</f>
        <v>80</v>
      </c>
      <c r="G9" s="420">
        <v>3</v>
      </c>
      <c r="H9" s="421"/>
      <c r="I9" s="421">
        <f t="shared" ref="I9:I11" si="0">H9*16</f>
        <v>0</v>
      </c>
      <c r="J9" s="421"/>
      <c r="K9" s="421">
        <f t="shared" ref="K9:K11" si="1">J9*16</f>
        <v>0</v>
      </c>
      <c r="L9" s="421"/>
      <c r="M9" s="421">
        <f t="shared" ref="M9:M11" si="2">L9*16</f>
        <v>0</v>
      </c>
      <c r="N9" s="421"/>
      <c r="O9" s="421">
        <f t="shared" ref="O9:O11" si="3">N9*16</f>
        <v>0</v>
      </c>
      <c r="P9" s="422"/>
      <c r="Q9" s="421">
        <f t="shared" ref="Q9:Q11" si="4">P9*16</f>
        <v>0</v>
      </c>
      <c r="R9" s="422">
        <v>5</v>
      </c>
      <c r="S9" s="421">
        <f t="shared" ref="S9:S11" si="5">R9*16</f>
        <v>80</v>
      </c>
      <c r="T9" s="32">
        <f t="shared" ref="T9:U11" si="6">H9+J9+L9+N9+P9+R9</f>
        <v>5</v>
      </c>
      <c r="U9" s="31">
        <f t="shared" si="6"/>
        <v>80</v>
      </c>
      <c r="W9" s="368"/>
    </row>
    <row r="10" spans="2:33">
      <c r="B10" s="1087"/>
      <c r="C10" s="1069"/>
      <c r="D10" s="423" t="s">
        <v>835</v>
      </c>
      <c r="E10" s="424" t="s">
        <v>836</v>
      </c>
      <c r="F10" s="419">
        <f>U10</f>
        <v>96</v>
      </c>
      <c r="G10" s="425">
        <v>3</v>
      </c>
      <c r="H10" s="426"/>
      <c r="I10" s="426">
        <f t="shared" si="0"/>
        <v>0</v>
      </c>
      <c r="J10" s="426"/>
      <c r="K10" s="426">
        <f t="shared" si="1"/>
        <v>0</v>
      </c>
      <c r="L10" s="426"/>
      <c r="M10" s="426">
        <f t="shared" si="2"/>
        <v>0</v>
      </c>
      <c r="N10" s="426"/>
      <c r="O10" s="426">
        <f t="shared" si="3"/>
        <v>0</v>
      </c>
      <c r="P10" s="427"/>
      <c r="Q10" s="426">
        <f t="shared" si="4"/>
        <v>0</v>
      </c>
      <c r="R10" s="427">
        <v>6</v>
      </c>
      <c r="S10" s="426">
        <f t="shared" si="5"/>
        <v>96</v>
      </c>
      <c r="T10" s="30">
        <f t="shared" si="6"/>
        <v>6</v>
      </c>
      <c r="U10" s="29">
        <f t="shared" si="6"/>
        <v>96</v>
      </c>
    </row>
    <row r="11" spans="2:33" ht="18" thickBot="1">
      <c r="B11" s="1088"/>
      <c r="C11" s="972"/>
      <c r="D11" s="1090" t="s">
        <v>16</v>
      </c>
      <c r="E11" s="1090"/>
      <c r="F11" s="428"/>
      <c r="G11" s="428"/>
      <c r="H11" s="429">
        <f>SUM(H9:H10)</f>
        <v>0</v>
      </c>
      <c r="I11" s="430">
        <f t="shared" si="0"/>
        <v>0</v>
      </c>
      <c r="J11" s="429">
        <f>SUM(J9:J10)</f>
        <v>0</v>
      </c>
      <c r="K11" s="430">
        <f t="shared" si="1"/>
        <v>0</v>
      </c>
      <c r="L11" s="429">
        <f>SUM(L9:L10)</f>
        <v>0</v>
      </c>
      <c r="M11" s="430">
        <f t="shared" si="2"/>
        <v>0</v>
      </c>
      <c r="N11" s="429">
        <f>SUM(N9:N10)</f>
        <v>0</v>
      </c>
      <c r="O11" s="430">
        <f t="shared" si="3"/>
        <v>0</v>
      </c>
      <c r="P11" s="429">
        <f>SUM(P9:P10)</f>
        <v>0</v>
      </c>
      <c r="Q11" s="430">
        <f t="shared" si="4"/>
        <v>0</v>
      </c>
      <c r="R11" s="429">
        <f>SUM(R9:R10)</f>
        <v>11</v>
      </c>
      <c r="S11" s="429">
        <f t="shared" si="5"/>
        <v>176</v>
      </c>
      <c r="T11" s="431">
        <f t="shared" si="6"/>
        <v>11</v>
      </c>
      <c r="U11" s="432">
        <f t="shared" si="6"/>
        <v>176</v>
      </c>
    </row>
    <row r="12" spans="2:33" ht="16.5" customHeight="1">
      <c r="B12" s="945" t="s">
        <v>638</v>
      </c>
      <c r="C12" s="1003">
        <f>T17</f>
        <v>10</v>
      </c>
      <c r="D12" s="277" t="s">
        <v>639</v>
      </c>
      <c r="E12" s="277" t="s">
        <v>640</v>
      </c>
      <c r="F12" s="277">
        <v>40</v>
      </c>
      <c r="G12" s="278">
        <v>2</v>
      </c>
      <c r="H12" s="279"/>
      <c r="I12" s="280"/>
      <c r="J12" s="278">
        <v>2</v>
      </c>
      <c r="K12" s="278">
        <v>32</v>
      </c>
      <c r="L12" s="280"/>
      <c r="M12" s="280"/>
      <c r="N12" s="280"/>
      <c r="O12" s="280"/>
      <c r="P12" s="280"/>
      <c r="Q12" s="280"/>
      <c r="R12" s="280"/>
      <c r="S12" s="280"/>
      <c r="T12" s="281">
        <f>SUM(H12,J12,L12,N12,P12,R12)</f>
        <v>2</v>
      </c>
      <c r="U12" s="282">
        <f>T12*16</f>
        <v>32</v>
      </c>
    </row>
    <row r="13" spans="2:33">
      <c r="B13" s="945"/>
      <c r="C13" s="1003"/>
      <c r="D13" s="223" t="s">
        <v>641</v>
      </c>
      <c r="E13" s="223" t="s">
        <v>642</v>
      </c>
      <c r="F13" s="223">
        <v>40</v>
      </c>
      <c r="G13" s="236">
        <v>3</v>
      </c>
      <c r="H13" s="283"/>
      <c r="I13" s="284"/>
      <c r="J13" s="236">
        <v>2</v>
      </c>
      <c r="K13" s="236">
        <v>32</v>
      </c>
      <c r="L13" s="284"/>
      <c r="M13" s="284"/>
      <c r="N13" s="284"/>
      <c r="O13" s="284"/>
      <c r="P13" s="284"/>
      <c r="Q13" s="284"/>
      <c r="R13" s="284"/>
      <c r="S13" s="284"/>
      <c r="T13" s="285">
        <f t="shared" ref="T13:T16" si="7">SUM(H13,J13,L13,N13,P13,R13)</f>
        <v>2</v>
      </c>
      <c r="U13" s="286">
        <f t="shared" ref="U13:U16" si="8">T13*16</f>
        <v>32</v>
      </c>
    </row>
    <row r="14" spans="2:33">
      <c r="B14" s="945"/>
      <c r="C14" s="1003"/>
      <c r="D14" s="287" t="s">
        <v>643</v>
      </c>
      <c r="E14" s="277" t="s">
        <v>644</v>
      </c>
      <c r="F14" s="277">
        <v>40</v>
      </c>
      <c r="G14" s="278">
        <v>3</v>
      </c>
      <c r="H14" s="283"/>
      <c r="I14" s="284"/>
      <c r="J14" s="236"/>
      <c r="K14" s="236"/>
      <c r="L14" s="288">
        <v>2</v>
      </c>
      <c r="M14" s="288">
        <f>L14*16</f>
        <v>32</v>
      </c>
      <c r="N14" s="284"/>
      <c r="O14" s="284"/>
      <c r="P14" s="284"/>
      <c r="Q14" s="284"/>
      <c r="R14" s="284"/>
      <c r="S14" s="284"/>
      <c r="T14" s="285">
        <f t="shared" si="7"/>
        <v>2</v>
      </c>
      <c r="U14" s="286">
        <f t="shared" si="8"/>
        <v>32</v>
      </c>
    </row>
    <row r="15" spans="2:33">
      <c r="B15" s="945"/>
      <c r="C15" s="1003"/>
      <c r="D15" s="289" t="s">
        <v>645</v>
      </c>
      <c r="E15" s="223" t="s">
        <v>646</v>
      </c>
      <c r="F15" s="223">
        <v>40</v>
      </c>
      <c r="G15" s="236">
        <v>3</v>
      </c>
      <c r="H15" s="290"/>
      <c r="I15" s="291"/>
      <c r="J15" s="292"/>
      <c r="K15" s="292"/>
      <c r="L15" s="288">
        <v>2</v>
      </c>
      <c r="M15" s="288">
        <f>L15*16</f>
        <v>32</v>
      </c>
      <c r="N15" s="291"/>
      <c r="O15" s="291"/>
      <c r="P15" s="291"/>
      <c r="Q15" s="291"/>
      <c r="R15" s="291"/>
      <c r="S15" s="291"/>
      <c r="T15" s="293">
        <f t="shared" si="7"/>
        <v>2</v>
      </c>
      <c r="U15" s="294">
        <f t="shared" si="8"/>
        <v>32</v>
      </c>
    </row>
    <row r="16" spans="2:33">
      <c r="B16" s="945"/>
      <c r="C16" s="1003"/>
      <c r="D16" s="289" t="s">
        <v>647</v>
      </c>
      <c r="E16" s="223" t="s">
        <v>648</v>
      </c>
      <c r="F16" s="223">
        <v>40</v>
      </c>
      <c r="G16" s="236">
        <v>3</v>
      </c>
      <c r="H16" s="290"/>
      <c r="I16" s="291"/>
      <c r="J16" s="292"/>
      <c r="K16" s="292"/>
      <c r="L16" s="288">
        <v>2</v>
      </c>
      <c r="M16" s="288">
        <f>L16*16</f>
        <v>32</v>
      </c>
      <c r="N16" s="291"/>
      <c r="O16" s="291"/>
      <c r="P16" s="291"/>
      <c r="Q16" s="291"/>
      <c r="R16" s="291"/>
      <c r="S16" s="291"/>
      <c r="T16" s="293">
        <f t="shared" si="7"/>
        <v>2</v>
      </c>
      <c r="U16" s="294">
        <f t="shared" si="8"/>
        <v>32</v>
      </c>
    </row>
    <row r="17" spans="2:21" ht="18" thickBot="1">
      <c r="B17" s="946"/>
      <c r="C17" s="1004"/>
      <c r="D17" s="1026" t="s">
        <v>16</v>
      </c>
      <c r="E17" s="1027"/>
      <c r="F17" s="266"/>
      <c r="G17" s="266"/>
      <c r="H17" s="295"/>
      <c r="I17" s="295"/>
      <c r="J17" s="295">
        <f>SUM(J12:J14)</f>
        <v>4</v>
      </c>
      <c r="K17" s="295">
        <f>SUM(K12:K14)</f>
        <v>64</v>
      </c>
      <c r="L17" s="295">
        <v>6</v>
      </c>
      <c r="M17" s="295">
        <v>96</v>
      </c>
      <c r="N17" s="295"/>
      <c r="O17" s="295"/>
      <c r="P17" s="295">
        <f t="shared" ref="P17:S17" si="9">SUM(P12:P14)</f>
        <v>0</v>
      </c>
      <c r="Q17" s="295">
        <f t="shared" si="9"/>
        <v>0</v>
      </c>
      <c r="R17" s="295">
        <f t="shared" si="9"/>
        <v>0</v>
      </c>
      <c r="S17" s="295">
        <f t="shared" si="9"/>
        <v>0</v>
      </c>
      <c r="T17" s="296">
        <f>SUM(T12:T16)</f>
        <v>10</v>
      </c>
      <c r="U17" s="297">
        <f>SUM(U12:U16)</f>
        <v>160</v>
      </c>
    </row>
    <row r="18" spans="2:21" ht="16.5" customHeight="1">
      <c r="B18" s="944" t="s">
        <v>649</v>
      </c>
      <c r="C18" s="947">
        <f>T22</f>
        <v>10</v>
      </c>
      <c r="D18" s="298" t="s">
        <v>650</v>
      </c>
      <c r="E18" s="298" t="s">
        <v>651</v>
      </c>
      <c r="F18" s="298" t="s">
        <v>652</v>
      </c>
      <c r="G18" s="230">
        <v>2</v>
      </c>
      <c r="H18" s="299"/>
      <c r="I18" s="300"/>
      <c r="J18" s="300">
        <v>2</v>
      </c>
      <c r="K18" s="300">
        <f>J18*16</f>
        <v>32</v>
      </c>
      <c r="L18" s="301"/>
      <c r="M18" s="301"/>
      <c r="N18" s="301"/>
      <c r="O18" s="301">
        <f>N18*16</f>
        <v>0</v>
      </c>
      <c r="P18" s="301"/>
      <c r="Q18" s="301"/>
      <c r="R18" s="301"/>
      <c r="S18" s="301"/>
      <c r="T18" s="302">
        <f t="shared" ref="T18:U19" si="10">SUM(H18,J18,L18,N18,P18,R18)</f>
        <v>2</v>
      </c>
      <c r="U18" s="303">
        <f t="shared" si="10"/>
        <v>32</v>
      </c>
    </row>
    <row r="19" spans="2:21">
      <c r="B19" s="945"/>
      <c r="C19" s="948"/>
      <c r="D19" s="304" t="s">
        <v>653</v>
      </c>
      <c r="E19" s="304" t="s">
        <v>654</v>
      </c>
      <c r="F19" s="304">
        <v>40</v>
      </c>
      <c r="G19" s="236">
        <v>2</v>
      </c>
      <c r="H19" s="305"/>
      <c r="I19" s="306"/>
      <c r="J19" s="307">
        <v>3</v>
      </c>
      <c r="K19" s="307">
        <f>J19*16</f>
        <v>48</v>
      </c>
      <c r="L19" s="306"/>
      <c r="M19" s="306"/>
      <c r="N19" s="306"/>
      <c r="O19" s="306"/>
      <c r="P19" s="306"/>
      <c r="Q19" s="306"/>
      <c r="R19" s="306"/>
      <c r="S19" s="306"/>
      <c r="T19" s="281">
        <f t="shared" si="10"/>
        <v>3</v>
      </c>
      <c r="U19" s="282">
        <f t="shared" si="10"/>
        <v>48</v>
      </c>
    </row>
    <row r="20" spans="2:21">
      <c r="B20" s="945"/>
      <c r="C20" s="948"/>
      <c r="D20" s="308" t="s">
        <v>655</v>
      </c>
      <c r="E20" s="309" t="s">
        <v>656</v>
      </c>
      <c r="F20" s="309" t="s">
        <v>652</v>
      </c>
      <c r="G20" s="278">
        <v>3</v>
      </c>
      <c r="H20" s="305"/>
      <c r="I20" s="306"/>
      <c r="J20" s="306"/>
      <c r="K20" s="306"/>
      <c r="L20" s="310">
        <v>2</v>
      </c>
      <c r="M20" s="310">
        <f>L20*16</f>
        <v>32</v>
      </c>
      <c r="N20" s="306"/>
      <c r="O20" s="306"/>
      <c r="P20" s="306"/>
      <c r="Q20" s="306"/>
      <c r="R20" s="306"/>
      <c r="S20" s="306"/>
      <c r="T20" s="281">
        <v>2</v>
      </c>
      <c r="U20" s="326">
        <v>32</v>
      </c>
    </row>
    <row r="21" spans="2:21">
      <c r="B21" s="945"/>
      <c r="C21" s="948"/>
      <c r="D21" s="311" t="s">
        <v>657</v>
      </c>
      <c r="E21" s="304" t="s">
        <v>658</v>
      </c>
      <c r="F21" s="304">
        <v>50</v>
      </c>
      <c r="G21" s="236">
        <v>4</v>
      </c>
      <c r="H21" s="312"/>
      <c r="I21" s="307"/>
      <c r="J21" s="307"/>
      <c r="K21" s="307"/>
      <c r="L21" s="313">
        <v>3</v>
      </c>
      <c r="M21" s="313">
        <f>L21*16</f>
        <v>48</v>
      </c>
      <c r="N21" s="314"/>
      <c r="O21" s="314"/>
      <c r="P21" s="306"/>
      <c r="Q21" s="306"/>
      <c r="R21" s="306"/>
      <c r="S21" s="306"/>
      <c r="T21" s="281">
        <f t="shared" ref="T21:U21" si="11">SUM(H21,J21,L21,N21,P21,R21)</f>
        <v>3</v>
      </c>
      <c r="U21" s="282">
        <f t="shared" si="11"/>
        <v>48</v>
      </c>
    </row>
    <row r="22" spans="2:21" ht="18" thickBot="1">
      <c r="B22" s="946"/>
      <c r="C22" s="949"/>
      <c r="D22" s="1091" t="s">
        <v>16</v>
      </c>
      <c r="E22" s="1092"/>
      <c r="F22" s="274"/>
      <c r="G22" s="274"/>
      <c r="H22" s="315"/>
      <c r="I22" s="315"/>
      <c r="J22" s="315">
        <f t="shared" ref="J22:U22" si="12">SUM(J18:J21)</f>
        <v>5</v>
      </c>
      <c r="K22" s="315">
        <f t="shared" si="12"/>
        <v>80</v>
      </c>
      <c r="L22" s="315">
        <f t="shared" si="12"/>
        <v>5</v>
      </c>
      <c r="M22" s="315">
        <f t="shared" si="12"/>
        <v>80</v>
      </c>
      <c r="N22" s="315">
        <f t="shared" si="12"/>
        <v>0</v>
      </c>
      <c r="O22" s="315">
        <f t="shared" si="12"/>
        <v>0</v>
      </c>
      <c r="P22" s="315">
        <f t="shared" si="12"/>
        <v>0</v>
      </c>
      <c r="Q22" s="315">
        <f t="shared" si="12"/>
        <v>0</v>
      </c>
      <c r="R22" s="315">
        <f t="shared" si="12"/>
        <v>0</v>
      </c>
      <c r="S22" s="315">
        <f t="shared" si="12"/>
        <v>0</v>
      </c>
      <c r="T22" s="296">
        <f t="shared" si="12"/>
        <v>10</v>
      </c>
      <c r="U22" s="297">
        <f t="shared" si="12"/>
        <v>160</v>
      </c>
    </row>
    <row r="23" spans="2:21" ht="16.5" customHeight="1">
      <c r="B23" s="944" t="s">
        <v>659</v>
      </c>
      <c r="C23" s="947">
        <f>T26</f>
        <v>8</v>
      </c>
      <c r="D23" s="316" t="s">
        <v>660</v>
      </c>
      <c r="E23" s="278" t="s">
        <v>661</v>
      </c>
      <c r="F23" s="278">
        <v>50</v>
      </c>
      <c r="G23" s="278">
        <v>2</v>
      </c>
      <c r="H23" s="278"/>
      <c r="I23" s="306"/>
      <c r="J23" s="306"/>
      <c r="K23" s="306"/>
      <c r="L23" s="317"/>
      <c r="M23" s="317"/>
      <c r="N23" s="310">
        <v>3</v>
      </c>
      <c r="O23" s="310">
        <f t="shared" ref="O23:O25" si="13">N23*16</f>
        <v>48</v>
      </c>
      <c r="P23" s="306"/>
      <c r="Q23" s="306"/>
      <c r="R23" s="306"/>
      <c r="S23" s="306"/>
      <c r="T23" s="281">
        <f t="shared" ref="T23:U25" si="14">SUM(H23,J23,L23,N23,P23,R23)</f>
        <v>3</v>
      </c>
      <c r="U23" s="282">
        <f t="shared" si="14"/>
        <v>48</v>
      </c>
    </row>
    <row r="24" spans="2:21">
      <c r="B24" s="945"/>
      <c r="C24" s="948"/>
      <c r="D24" s="318" t="s">
        <v>662</v>
      </c>
      <c r="E24" s="236" t="s">
        <v>663</v>
      </c>
      <c r="F24" s="236">
        <v>50</v>
      </c>
      <c r="G24" s="236">
        <v>4</v>
      </c>
      <c r="H24" s="278"/>
      <c r="I24" s="306"/>
      <c r="J24" s="306"/>
      <c r="K24" s="306"/>
      <c r="L24" s="317"/>
      <c r="M24" s="317"/>
      <c r="N24" s="313">
        <v>3</v>
      </c>
      <c r="O24" s="313">
        <f t="shared" si="13"/>
        <v>48</v>
      </c>
      <c r="P24" s="306"/>
      <c r="Q24" s="306"/>
      <c r="R24" s="306"/>
      <c r="S24" s="306"/>
      <c r="T24" s="281">
        <f t="shared" si="14"/>
        <v>3</v>
      </c>
      <c r="U24" s="282">
        <f t="shared" si="14"/>
        <v>48</v>
      </c>
    </row>
    <row r="25" spans="2:21">
      <c r="B25" s="945"/>
      <c r="C25" s="948"/>
      <c r="D25" s="318" t="s">
        <v>664</v>
      </c>
      <c r="E25" s="236" t="s">
        <v>665</v>
      </c>
      <c r="F25" s="236">
        <v>50</v>
      </c>
      <c r="G25" s="236">
        <v>3</v>
      </c>
      <c r="H25" s="236"/>
      <c r="I25" s="307"/>
      <c r="J25" s="307"/>
      <c r="K25" s="307"/>
      <c r="L25" s="314"/>
      <c r="M25" s="314"/>
      <c r="N25" s="313">
        <v>2</v>
      </c>
      <c r="O25" s="313">
        <f t="shared" si="13"/>
        <v>32</v>
      </c>
      <c r="P25" s="314"/>
      <c r="Q25" s="314"/>
      <c r="R25" s="307"/>
      <c r="S25" s="307"/>
      <c r="T25" s="281">
        <f t="shared" si="14"/>
        <v>2</v>
      </c>
      <c r="U25" s="282">
        <f t="shared" si="14"/>
        <v>32</v>
      </c>
    </row>
    <row r="26" spans="2:21" ht="18" thickBot="1">
      <c r="B26" s="946"/>
      <c r="C26" s="949"/>
      <c r="D26" s="1091" t="s">
        <v>16</v>
      </c>
      <c r="E26" s="1092"/>
      <c r="F26" s="274"/>
      <c r="G26" s="274"/>
      <c r="H26" s="315"/>
      <c r="I26" s="315"/>
      <c r="J26" s="315"/>
      <c r="K26" s="315"/>
      <c r="L26" s="315">
        <f t="shared" ref="L26:T26" si="15">SUM(L23:L25)</f>
        <v>0</v>
      </c>
      <c r="M26" s="315">
        <f t="shared" si="15"/>
        <v>0</v>
      </c>
      <c r="N26" s="315">
        <f t="shared" si="15"/>
        <v>8</v>
      </c>
      <c r="O26" s="315">
        <f t="shared" si="15"/>
        <v>128</v>
      </c>
      <c r="P26" s="315">
        <f t="shared" si="15"/>
        <v>0</v>
      </c>
      <c r="Q26" s="315">
        <f t="shared" si="15"/>
        <v>0</v>
      </c>
      <c r="R26" s="315">
        <f t="shared" si="15"/>
        <v>0</v>
      </c>
      <c r="S26" s="315">
        <f t="shared" si="15"/>
        <v>0</v>
      </c>
      <c r="T26" s="296">
        <f t="shared" si="15"/>
        <v>8</v>
      </c>
      <c r="U26" s="297">
        <f>SUM(U23:U25)</f>
        <v>128</v>
      </c>
    </row>
    <row r="27" spans="2:21" ht="16.5" customHeight="1">
      <c r="B27" s="944" t="s">
        <v>666</v>
      </c>
      <c r="C27" s="947">
        <f>T31</f>
        <v>13</v>
      </c>
      <c r="D27" s="316" t="s">
        <v>667</v>
      </c>
      <c r="E27" s="278" t="s">
        <v>668</v>
      </c>
      <c r="F27" s="278">
        <v>50</v>
      </c>
      <c r="G27" s="278">
        <v>4</v>
      </c>
      <c r="H27" s="319"/>
      <c r="I27" s="306"/>
      <c r="J27" s="306"/>
      <c r="K27" s="306"/>
      <c r="L27" s="306"/>
      <c r="M27" s="306"/>
      <c r="N27" s="310">
        <v>2</v>
      </c>
      <c r="O27" s="310">
        <f>N27*16</f>
        <v>32</v>
      </c>
      <c r="P27" s="317"/>
      <c r="Q27" s="317"/>
      <c r="R27" s="306"/>
      <c r="S27" s="306">
        <f>R27*16</f>
        <v>0</v>
      </c>
      <c r="T27" s="281">
        <f t="shared" ref="T27:U30" si="16">SUM(H27,J27,L27,N27,P27,R27)</f>
        <v>2</v>
      </c>
      <c r="U27" s="282">
        <f t="shared" si="16"/>
        <v>32</v>
      </c>
    </row>
    <row r="28" spans="2:21">
      <c r="B28" s="945"/>
      <c r="C28" s="948"/>
      <c r="D28" s="236" t="s">
        <v>669</v>
      </c>
      <c r="E28" s="236" t="s">
        <v>670</v>
      </c>
      <c r="F28" s="236">
        <v>30</v>
      </c>
      <c r="G28" s="236">
        <v>3</v>
      </c>
      <c r="H28" s="320"/>
      <c r="I28" s="307"/>
      <c r="J28" s="307"/>
      <c r="K28" s="307"/>
      <c r="L28" s="307"/>
      <c r="M28" s="307"/>
      <c r="N28" s="307">
        <v>1</v>
      </c>
      <c r="O28" s="307">
        <f t="shared" ref="O28" si="17">N28*16</f>
        <v>16</v>
      </c>
      <c r="P28" s="307"/>
      <c r="Q28" s="307"/>
      <c r="R28" s="307"/>
      <c r="S28" s="307">
        <f t="shared" ref="S28" si="18">R28*16</f>
        <v>0</v>
      </c>
      <c r="T28" s="285">
        <f t="shared" si="16"/>
        <v>1</v>
      </c>
      <c r="U28" s="286">
        <f t="shared" si="16"/>
        <v>16</v>
      </c>
    </row>
    <row r="29" spans="2:21">
      <c r="B29" s="945"/>
      <c r="C29" s="948"/>
      <c r="D29" s="235" t="s">
        <v>671</v>
      </c>
      <c r="E29" s="235" t="s">
        <v>672</v>
      </c>
      <c r="F29" s="235">
        <v>40</v>
      </c>
      <c r="G29" s="235">
        <v>3</v>
      </c>
      <c r="H29" s="320"/>
      <c r="I29" s="307"/>
      <c r="J29" s="307"/>
      <c r="K29" s="307"/>
      <c r="L29" s="307"/>
      <c r="M29" s="307"/>
      <c r="N29" s="307"/>
      <c r="O29" s="307"/>
      <c r="P29" s="307">
        <v>5</v>
      </c>
      <c r="Q29" s="307">
        <f t="shared" ref="Q29:Q30" si="19">P29*16</f>
        <v>80</v>
      </c>
      <c r="R29" s="307"/>
      <c r="S29" s="307"/>
      <c r="T29" s="285">
        <f t="shared" si="16"/>
        <v>5</v>
      </c>
      <c r="U29" s="286">
        <f t="shared" si="16"/>
        <v>80</v>
      </c>
    </row>
    <row r="30" spans="2:21">
      <c r="B30" s="945"/>
      <c r="C30" s="948"/>
      <c r="D30" s="236" t="s">
        <v>673</v>
      </c>
      <c r="E30" s="236" t="s">
        <v>674</v>
      </c>
      <c r="F30" s="236">
        <v>30</v>
      </c>
      <c r="G30" s="236">
        <v>3</v>
      </c>
      <c r="H30" s="320"/>
      <c r="I30" s="307"/>
      <c r="J30" s="307"/>
      <c r="K30" s="307"/>
      <c r="L30" s="307"/>
      <c r="M30" s="307"/>
      <c r="N30" s="307"/>
      <c r="O30" s="307"/>
      <c r="P30" s="307">
        <v>5</v>
      </c>
      <c r="Q30" s="307">
        <f t="shared" si="19"/>
        <v>80</v>
      </c>
      <c r="R30" s="307"/>
      <c r="S30" s="307"/>
      <c r="T30" s="285">
        <f t="shared" si="16"/>
        <v>5</v>
      </c>
      <c r="U30" s="286">
        <f t="shared" si="16"/>
        <v>80</v>
      </c>
    </row>
    <row r="31" spans="2:21" ht="18" thickBot="1">
      <c r="B31" s="946"/>
      <c r="C31" s="949"/>
      <c r="D31" s="1091" t="s">
        <v>16</v>
      </c>
      <c r="E31" s="1092"/>
      <c r="F31" s="274"/>
      <c r="G31" s="274"/>
      <c r="H31" s="315"/>
      <c r="I31" s="315"/>
      <c r="J31" s="315"/>
      <c r="K31" s="315"/>
      <c r="L31" s="315"/>
      <c r="M31" s="315"/>
      <c r="N31" s="315">
        <f t="shared" ref="N31:U31" si="20">SUM(N27:N30)</f>
        <v>3</v>
      </c>
      <c r="O31" s="315">
        <f t="shared" si="20"/>
        <v>48</v>
      </c>
      <c r="P31" s="315">
        <f t="shared" si="20"/>
        <v>10</v>
      </c>
      <c r="Q31" s="315">
        <f t="shared" si="20"/>
        <v>160</v>
      </c>
      <c r="R31" s="315">
        <f t="shared" si="20"/>
        <v>0</v>
      </c>
      <c r="S31" s="315">
        <f t="shared" si="20"/>
        <v>0</v>
      </c>
      <c r="T31" s="296">
        <f t="shared" si="20"/>
        <v>13</v>
      </c>
      <c r="U31" s="297">
        <f t="shared" si="20"/>
        <v>208</v>
      </c>
    </row>
    <row r="32" spans="2:21" ht="16.5" customHeight="1">
      <c r="B32" s="944" t="s">
        <v>675</v>
      </c>
      <c r="C32" s="1002">
        <f>T36</f>
        <v>18</v>
      </c>
      <c r="D32" s="219" t="s">
        <v>676</v>
      </c>
      <c r="E32" s="219" t="s">
        <v>677</v>
      </c>
      <c r="F32" s="219">
        <v>30</v>
      </c>
      <c r="G32" s="230">
        <v>2</v>
      </c>
      <c r="H32" s="321"/>
      <c r="I32" s="322"/>
      <c r="J32" s="322"/>
      <c r="K32" s="322"/>
      <c r="L32" s="322"/>
      <c r="M32" s="322"/>
      <c r="N32" s="322"/>
      <c r="O32" s="322"/>
      <c r="P32" s="322">
        <v>3</v>
      </c>
      <c r="Q32" s="322">
        <v>48</v>
      </c>
      <c r="R32" s="322"/>
      <c r="S32" s="322"/>
      <c r="T32" s="302">
        <f t="shared" ref="T32:U32" si="21">SUM(H32,J32,L32,N32,P32,R32)</f>
        <v>3</v>
      </c>
      <c r="U32" s="303">
        <f t="shared" si="21"/>
        <v>48</v>
      </c>
    </row>
    <row r="33" spans="2:21">
      <c r="B33" s="945"/>
      <c r="C33" s="1003"/>
      <c r="D33" s="277" t="s">
        <v>678</v>
      </c>
      <c r="E33" s="277" t="s">
        <v>679</v>
      </c>
      <c r="F33" s="277">
        <v>40</v>
      </c>
      <c r="G33" s="278">
        <v>3</v>
      </c>
      <c r="H33" s="279"/>
      <c r="I33" s="280"/>
      <c r="J33" s="280"/>
      <c r="K33" s="280"/>
      <c r="L33" s="280"/>
      <c r="M33" s="280"/>
      <c r="N33" s="280"/>
      <c r="O33" s="280"/>
      <c r="P33" s="280">
        <v>4</v>
      </c>
      <c r="Q33" s="280">
        <v>64</v>
      </c>
      <c r="R33" s="280"/>
      <c r="S33" s="280"/>
      <c r="T33" s="281">
        <v>4</v>
      </c>
      <c r="U33" s="282">
        <v>64</v>
      </c>
    </row>
    <row r="34" spans="2:21">
      <c r="B34" s="945"/>
      <c r="C34" s="1003"/>
      <c r="D34" s="323" t="s">
        <v>680</v>
      </c>
      <c r="E34" s="323" t="s">
        <v>681</v>
      </c>
      <c r="F34" s="323">
        <v>40</v>
      </c>
      <c r="G34" s="323">
        <v>4</v>
      </c>
      <c r="H34" s="324"/>
      <c r="I34" s="280"/>
      <c r="J34" s="280"/>
      <c r="K34" s="280"/>
      <c r="L34" s="280"/>
      <c r="M34" s="280"/>
      <c r="N34" s="280"/>
      <c r="O34" s="280"/>
      <c r="P34" s="280"/>
      <c r="Q34" s="280"/>
      <c r="R34" s="280">
        <v>6</v>
      </c>
      <c r="S34" s="280">
        <f>R34*16</f>
        <v>96</v>
      </c>
      <c r="T34" s="325">
        <v>6</v>
      </c>
      <c r="U34" s="326">
        <v>96</v>
      </c>
    </row>
    <row r="35" spans="2:21">
      <c r="B35" s="945"/>
      <c r="C35" s="1003"/>
      <c r="D35" s="262" t="s">
        <v>682</v>
      </c>
      <c r="E35" s="262" t="s">
        <v>683</v>
      </c>
      <c r="F35" s="262">
        <v>50</v>
      </c>
      <c r="G35" s="262">
        <v>3</v>
      </c>
      <c r="H35" s="327"/>
      <c r="I35" s="284"/>
      <c r="J35" s="284"/>
      <c r="K35" s="284"/>
      <c r="L35" s="284"/>
      <c r="M35" s="284"/>
      <c r="N35" s="284"/>
      <c r="O35" s="284"/>
      <c r="P35" s="284"/>
      <c r="Q35" s="284"/>
      <c r="R35" s="284">
        <v>5</v>
      </c>
      <c r="S35" s="280">
        <f>R35*16</f>
        <v>80</v>
      </c>
      <c r="T35" s="328">
        <v>5</v>
      </c>
      <c r="U35" s="286">
        <f t="shared" ref="U35" si="22">SUM(I35,K35,M35,O35,Q35,S35)</f>
        <v>80</v>
      </c>
    </row>
    <row r="36" spans="2:21" ht="18" thickBot="1">
      <c r="B36" s="946"/>
      <c r="C36" s="1004"/>
      <c r="D36" s="1026" t="s">
        <v>16</v>
      </c>
      <c r="E36" s="1027"/>
      <c r="F36" s="266"/>
      <c r="G36" s="266"/>
      <c r="H36" s="295"/>
      <c r="I36" s="295"/>
      <c r="J36" s="295"/>
      <c r="K36" s="295"/>
      <c r="L36" s="295"/>
      <c r="M36" s="295"/>
      <c r="N36" s="295"/>
      <c r="O36" s="295"/>
      <c r="P36" s="295">
        <v>7</v>
      </c>
      <c r="Q36" s="295">
        <f>SUM(Q32:Q35)</f>
        <v>112</v>
      </c>
      <c r="R36" s="295">
        <v>11</v>
      </c>
      <c r="S36" s="295">
        <f>SUM(S32:S35)</f>
        <v>176</v>
      </c>
      <c r="T36" s="296">
        <f>SUM(T32:T35)</f>
        <v>18</v>
      </c>
      <c r="U36" s="297">
        <f>SUM(U32:U35)</f>
        <v>288</v>
      </c>
    </row>
    <row r="37" spans="2:21" ht="16.5" customHeight="1">
      <c r="B37" s="944" t="s">
        <v>684</v>
      </c>
      <c r="C37" s="1002">
        <f>T41</f>
        <v>15</v>
      </c>
      <c r="D37" s="323" t="s">
        <v>685</v>
      </c>
      <c r="E37" s="323" t="s">
        <v>686</v>
      </c>
      <c r="F37" s="323">
        <v>40</v>
      </c>
      <c r="G37" s="323">
        <v>3</v>
      </c>
      <c r="H37" s="324"/>
      <c r="I37" s="280"/>
      <c r="J37" s="280"/>
      <c r="K37" s="280"/>
      <c r="L37" s="280"/>
      <c r="M37" s="280"/>
      <c r="N37" s="280"/>
      <c r="O37" s="280"/>
      <c r="P37" s="280">
        <v>4</v>
      </c>
      <c r="Q37" s="280">
        <v>64</v>
      </c>
      <c r="R37" s="280"/>
      <c r="S37" s="280"/>
      <c r="T37" s="281">
        <f t="shared" ref="T37:U38" si="23">SUM(H37,J37,L37,N37,P37,R37)</f>
        <v>4</v>
      </c>
      <c r="U37" s="282">
        <f t="shared" si="23"/>
        <v>64</v>
      </c>
    </row>
    <row r="38" spans="2:21">
      <c r="B38" s="945"/>
      <c r="C38" s="1003"/>
      <c r="D38" s="262" t="s">
        <v>687</v>
      </c>
      <c r="E38" s="262" t="s">
        <v>688</v>
      </c>
      <c r="F38" s="262">
        <v>40</v>
      </c>
      <c r="G38" s="262">
        <v>3</v>
      </c>
      <c r="H38" s="327"/>
      <c r="I38" s="284"/>
      <c r="J38" s="284"/>
      <c r="K38" s="284"/>
      <c r="L38" s="284"/>
      <c r="M38" s="284"/>
      <c r="N38" s="284"/>
      <c r="O38" s="284"/>
      <c r="P38" s="284">
        <v>4</v>
      </c>
      <c r="Q38" s="284">
        <v>64</v>
      </c>
      <c r="R38" s="284"/>
      <c r="S38" s="284"/>
      <c r="T38" s="285">
        <f t="shared" si="23"/>
        <v>4</v>
      </c>
      <c r="U38" s="286">
        <f t="shared" si="23"/>
        <v>64</v>
      </c>
    </row>
    <row r="39" spans="2:21">
      <c r="B39" s="945"/>
      <c r="C39" s="1003"/>
      <c r="D39" s="323" t="s">
        <v>689</v>
      </c>
      <c r="E39" s="323" t="s">
        <v>690</v>
      </c>
      <c r="F39" s="323">
        <v>40</v>
      </c>
      <c r="G39" s="323">
        <v>3</v>
      </c>
      <c r="H39" s="324"/>
      <c r="I39" s="280"/>
      <c r="J39" s="280"/>
      <c r="K39" s="280"/>
      <c r="L39" s="280"/>
      <c r="M39" s="280"/>
      <c r="N39" s="280"/>
      <c r="O39" s="280"/>
      <c r="P39" s="280"/>
      <c r="Q39" s="280"/>
      <c r="R39" s="280">
        <v>3</v>
      </c>
      <c r="S39" s="280">
        <f>R39*16</f>
        <v>48</v>
      </c>
      <c r="T39" s="281">
        <v>3</v>
      </c>
      <c r="U39" s="282">
        <v>48</v>
      </c>
    </row>
    <row r="40" spans="2:21">
      <c r="B40" s="945"/>
      <c r="C40" s="1003"/>
      <c r="D40" s="262" t="s">
        <v>691</v>
      </c>
      <c r="E40" s="262" t="s">
        <v>692</v>
      </c>
      <c r="F40" s="262">
        <v>40</v>
      </c>
      <c r="G40" s="262">
        <v>3</v>
      </c>
      <c r="H40" s="327"/>
      <c r="I40" s="284"/>
      <c r="J40" s="284"/>
      <c r="K40" s="284"/>
      <c r="L40" s="284"/>
      <c r="M40" s="284"/>
      <c r="N40" s="284"/>
      <c r="O40" s="284"/>
      <c r="P40" s="284"/>
      <c r="Q40" s="284"/>
      <c r="R40" s="284">
        <v>4</v>
      </c>
      <c r="S40" s="280">
        <f>R40*16</f>
        <v>64</v>
      </c>
      <c r="T40" s="285">
        <f t="shared" ref="T40" si="24">SUM(H40,J40,L40,N40,P40,R40)</f>
        <v>4</v>
      </c>
      <c r="U40" s="286">
        <v>64</v>
      </c>
    </row>
    <row r="41" spans="2:21" ht="18" thickBot="1">
      <c r="B41" s="946"/>
      <c r="C41" s="1004"/>
      <c r="D41" s="1026" t="s">
        <v>16</v>
      </c>
      <c r="E41" s="1027"/>
      <c r="F41" s="266"/>
      <c r="G41" s="266"/>
      <c r="H41" s="295"/>
      <c r="I41" s="295"/>
      <c r="J41" s="295"/>
      <c r="K41" s="295"/>
      <c r="L41" s="295"/>
      <c r="M41" s="295"/>
      <c r="N41" s="295"/>
      <c r="O41" s="295"/>
      <c r="P41" s="295">
        <v>8</v>
      </c>
      <c r="Q41" s="295">
        <f>SUM(Q37:Q40)</f>
        <v>128</v>
      </c>
      <c r="R41" s="295">
        <v>7</v>
      </c>
      <c r="S41" s="295">
        <f>SUM(S37:S40)</f>
        <v>112</v>
      </c>
      <c r="T41" s="296">
        <f>SUM(T37:T40)</f>
        <v>15</v>
      </c>
      <c r="U41" s="297">
        <f>SUM(U37:U40)</f>
        <v>240</v>
      </c>
    </row>
    <row r="42" spans="2:21">
      <c r="B42" s="1057" t="s">
        <v>887</v>
      </c>
      <c r="C42" s="1093">
        <f>T44</f>
        <v>6</v>
      </c>
      <c r="D42" s="433" t="s">
        <v>837</v>
      </c>
      <c r="E42" s="433" t="s">
        <v>838</v>
      </c>
      <c r="F42" s="434">
        <v>48</v>
      </c>
      <c r="G42" s="435">
        <v>2</v>
      </c>
      <c r="H42" s="419"/>
      <c r="I42" s="419">
        <f>H42*16</f>
        <v>0</v>
      </c>
      <c r="J42" s="419"/>
      <c r="K42" s="419">
        <f>J42*16</f>
        <v>0</v>
      </c>
      <c r="L42" s="419">
        <v>3</v>
      </c>
      <c r="M42" s="419">
        <f>L42*16</f>
        <v>48</v>
      </c>
      <c r="N42" s="419"/>
      <c r="O42" s="419"/>
      <c r="P42" s="419"/>
      <c r="Q42" s="419"/>
      <c r="R42" s="419"/>
      <c r="S42" s="419"/>
      <c r="T42" s="436">
        <f t="shared" ref="T42:U49" si="25">H42+J42+L42+N42+P42+R42</f>
        <v>3</v>
      </c>
      <c r="U42" s="437">
        <f t="shared" si="25"/>
        <v>48</v>
      </c>
    </row>
    <row r="43" spans="2:21">
      <c r="B43" s="1057"/>
      <c r="C43" s="1093"/>
      <c r="D43" s="438" t="s">
        <v>839</v>
      </c>
      <c r="E43" s="438" t="s">
        <v>840</v>
      </c>
      <c r="F43" s="434">
        <v>48</v>
      </c>
      <c r="G43" s="439">
        <v>4</v>
      </c>
      <c r="H43" s="440"/>
      <c r="I43" s="440">
        <f>H43*16</f>
        <v>0</v>
      </c>
      <c r="J43" s="440"/>
      <c r="K43" s="440">
        <f>J43*16</f>
        <v>0</v>
      </c>
      <c r="L43" s="440"/>
      <c r="M43" s="419"/>
      <c r="N43" s="440">
        <v>3</v>
      </c>
      <c r="O43" s="440">
        <f>N43*16</f>
        <v>48</v>
      </c>
      <c r="P43" s="440"/>
      <c r="Q43" s="440"/>
      <c r="R43" s="440"/>
      <c r="S43" s="440"/>
      <c r="T43" s="441">
        <f t="shared" si="25"/>
        <v>3</v>
      </c>
      <c r="U43" s="442">
        <f t="shared" si="25"/>
        <v>48</v>
      </c>
    </row>
    <row r="44" spans="2:21" ht="18" thickBot="1">
      <c r="B44" s="1058"/>
      <c r="C44" s="1094"/>
      <c r="D44" s="1095" t="s">
        <v>16</v>
      </c>
      <c r="E44" s="1096"/>
      <c r="F44" s="428"/>
      <c r="G44" s="428"/>
      <c r="H44" s="429">
        <f>SUM(H42:H43)</f>
        <v>0</v>
      </c>
      <c r="I44" s="430">
        <f>H44*16</f>
        <v>0</v>
      </c>
      <c r="J44" s="429">
        <f>SUM(J42:J43)</f>
        <v>0</v>
      </c>
      <c r="K44" s="430">
        <f>J44*16</f>
        <v>0</v>
      </c>
      <c r="L44" s="429">
        <f>SUM(L42:L43)</f>
        <v>3</v>
      </c>
      <c r="M44" s="429">
        <f>L44*16</f>
        <v>48</v>
      </c>
      <c r="N44" s="429">
        <f>SUM(N42:N43)</f>
        <v>3</v>
      </c>
      <c r="O44" s="429">
        <f>N44*16</f>
        <v>48</v>
      </c>
      <c r="P44" s="429">
        <f>SUM(P42:P43)</f>
        <v>0</v>
      </c>
      <c r="Q44" s="430">
        <f>P44*16</f>
        <v>0</v>
      </c>
      <c r="R44" s="429">
        <f>SUM(R42:R43)</f>
        <v>0</v>
      </c>
      <c r="S44" s="430">
        <f>R44*16</f>
        <v>0</v>
      </c>
      <c r="T44" s="431">
        <f t="shared" si="25"/>
        <v>6</v>
      </c>
      <c r="U44" s="432">
        <f t="shared" si="25"/>
        <v>96</v>
      </c>
    </row>
    <row r="45" spans="2:21">
      <c r="B45" s="1076" t="s">
        <v>994</v>
      </c>
      <c r="C45" s="1097">
        <f>T47</f>
        <v>16</v>
      </c>
      <c r="D45" s="443" t="s">
        <v>841</v>
      </c>
      <c r="E45" s="443" t="s">
        <v>842</v>
      </c>
      <c r="F45" s="444">
        <v>128</v>
      </c>
      <c r="G45" s="444">
        <v>4</v>
      </c>
      <c r="H45" s="445"/>
      <c r="I45" s="445">
        <f t="shared" ref="I45:I75" si="26">H45*16</f>
        <v>0</v>
      </c>
      <c r="J45" s="445"/>
      <c r="K45" s="445">
        <f t="shared" ref="K45:K75" si="27">J45*16</f>
        <v>0</v>
      </c>
      <c r="L45" s="445">
        <v>8</v>
      </c>
      <c r="M45" s="445">
        <f t="shared" ref="M45:M47" si="28">L45*16</f>
        <v>128</v>
      </c>
      <c r="N45" s="445"/>
      <c r="O45" s="445">
        <f t="shared" ref="O45:O47" si="29">N45*16</f>
        <v>0</v>
      </c>
      <c r="P45" s="445"/>
      <c r="Q45" s="445"/>
      <c r="R45" s="445"/>
      <c r="S45" s="445"/>
      <c r="T45" s="446">
        <f t="shared" si="25"/>
        <v>8</v>
      </c>
      <c r="U45" s="447">
        <f t="shared" si="25"/>
        <v>128</v>
      </c>
    </row>
    <row r="46" spans="2:21">
      <c r="B46" s="1057"/>
      <c r="C46" s="1093"/>
      <c r="D46" s="438" t="s">
        <v>843</v>
      </c>
      <c r="E46" s="438" t="s">
        <v>844</v>
      </c>
      <c r="F46" s="434">
        <v>128</v>
      </c>
      <c r="G46" s="434">
        <v>4</v>
      </c>
      <c r="H46" s="440"/>
      <c r="I46" s="440">
        <f t="shared" si="26"/>
        <v>0</v>
      </c>
      <c r="J46" s="440"/>
      <c r="K46" s="440">
        <f t="shared" si="27"/>
        <v>0</v>
      </c>
      <c r="L46" s="440"/>
      <c r="M46" s="440">
        <f t="shared" si="28"/>
        <v>0</v>
      </c>
      <c r="N46" s="440">
        <v>8</v>
      </c>
      <c r="O46" s="440">
        <f t="shared" si="29"/>
        <v>128</v>
      </c>
      <c r="P46" s="440"/>
      <c r="Q46" s="440"/>
      <c r="R46" s="440"/>
      <c r="S46" s="440"/>
      <c r="T46" s="441">
        <f t="shared" si="25"/>
        <v>8</v>
      </c>
      <c r="U46" s="442">
        <f t="shared" si="25"/>
        <v>128</v>
      </c>
    </row>
    <row r="47" spans="2:21" ht="18" thickBot="1">
      <c r="B47" s="1058"/>
      <c r="C47" s="1094"/>
      <c r="D47" s="1095" t="s">
        <v>16</v>
      </c>
      <c r="E47" s="1096"/>
      <c r="F47" s="428"/>
      <c r="G47" s="428"/>
      <c r="H47" s="429">
        <f>SUM(H45:H46)</f>
        <v>0</v>
      </c>
      <c r="I47" s="430">
        <f t="shared" si="26"/>
        <v>0</v>
      </c>
      <c r="J47" s="429">
        <f>SUM(J45:J46)</f>
        <v>0</v>
      </c>
      <c r="K47" s="430">
        <f t="shared" si="27"/>
        <v>0</v>
      </c>
      <c r="L47" s="429">
        <f>SUM(L45:L46)</f>
        <v>8</v>
      </c>
      <c r="M47" s="429">
        <f t="shared" si="28"/>
        <v>128</v>
      </c>
      <c r="N47" s="429">
        <f>SUM(N45:N46)</f>
        <v>8</v>
      </c>
      <c r="O47" s="429">
        <f t="shared" si="29"/>
        <v>128</v>
      </c>
      <c r="P47" s="429">
        <f>SUM(P45:P46)</f>
        <v>0</v>
      </c>
      <c r="Q47" s="429">
        <f t="shared" ref="Q47" si="30">P47*16</f>
        <v>0</v>
      </c>
      <c r="R47" s="429">
        <f>SUM(R45:R46)</f>
        <v>0</v>
      </c>
      <c r="S47" s="429">
        <f t="shared" ref="S47" si="31">R47*16</f>
        <v>0</v>
      </c>
      <c r="T47" s="431">
        <f t="shared" si="25"/>
        <v>16</v>
      </c>
      <c r="U47" s="432">
        <f t="shared" si="25"/>
        <v>256</v>
      </c>
    </row>
    <row r="48" spans="2:21">
      <c r="B48" s="1057" t="s">
        <v>992</v>
      </c>
      <c r="C48" s="1093">
        <f>T49</f>
        <v>10</v>
      </c>
      <c r="D48" s="438" t="s">
        <v>845</v>
      </c>
      <c r="E48" s="438" t="s">
        <v>846</v>
      </c>
      <c r="F48" s="434">
        <v>160</v>
      </c>
      <c r="G48" s="434">
        <v>5</v>
      </c>
      <c r="H48" s="419"/>
      <c r="I48" s="419">
        <f t="shared" si="26"/>
        <v>0</v>
      </c>
      <c r="J48" s="419"/>
      <c r="K48" s="419">
        <f t="shared" si="27"/>
        <v>0</v>
      </c>
      <c r="L48" s="419"/>
      <c r="M48" s="419"/>
      <c r="N48" s="419"/>
      <c r="O48" s="419"/>
      <c r="P48" s="419">
        <v>10</v>
      </c>
      <c r="Q48" s="440">
        <f>P48*16</f>
        <v>160</v>
      </c>
      <c r="R48" s="419"/>
      <c r="S48" s="419"/>
      <c r="T48" s="436">
        <f t="shared" si="25"/>
        <v>10</v>
      </c>
      <c r="U48" s="437">
        <f t="shared" si="25"/>
        <v>160</v>
      </c>
    </row>
    <row r="49" spans="2:21" ht="18" thickBot="1">
      <c r="B49" s="1058"/>
      <c r="C49" s="1094"/>
      <c r="D49" s="1095" t="s">
        <v>16</v>
      </c>
      <c r="E49" s="1096"/>
      <c r="F49" s="428"/>
      <c r="G49" s="428"/>
      <c r="H49" s="429">
        <f>SUM(H48:H48)</f>
        <v>0</v>
      </c>
      <c r="I49" s="430">
        <f t="shared" si="26"/>
        <v>0</v>
      </c>
      <c r="J49" s="429">
        <f>SUM(J48:J48)</f>
        <v>0</v>
      </c>
      <c r="K49" s="430">
        <f t="shared" si="27"/>
        <v>0</v>
      </c>
      <c r="L49" s="429">
        <f>SUM(L48:L48)</f>
        <v>0</v>
      </c>
      <c r="M49" s="430">
        <f>L49*16</f>
        <v>0</v>
      </c>
      <c r="N49" s="429">
        <f>SUM(N48:N48)</f>
        <v>0</v>
      </c>
      <c r="O49" s="430">
        <f>N49*16</f>
        <v>0</v>
      </c>
      <c r="P49" s="429">
        <f>SUM(P48:P48)</f>
        <v>10</v>
      </c>
      <c r="Q49" s="429">
        <f>P49*16</f>
        <v>160</v>
      </c>
      <c r="R49" s="429">
        <f>SUM(R48:R48)</f>
        <v>0</v>
      </c>
      <c r="S49" s="430">
        <f>R49*16</f>
        <v>0</v>
      </c>
      <c r="T49" s="431">
        <f t="shared" si="25"/>
        <v>10</v>
      </c>
      <c r="U49" s="432">
        <f t="shared" si="25"/>
        <v>160</v>
      </c>
    </row>
    <row r="50" spans="2:21">
      <c r="B50" s="1081" t="s">
        <v>993</v>
      </c>
      <c r="C50" s="1089">
        <v>15</v>
      </c>
      <c r="D50" s="448" t="s">
        <v>847</v>
      </c>
      <c r="E50" s="448" t="s">
        <v>848</v>
      </c>
      <c r="F50" s="419">
        <f>U50</f>
        <v>128</v>
      </c>
      <c r="G50" s="435">
        <v>5</v>
      </c>
      <c r="H50" s="419"/>
      <c r="I50" s="419">
        <f t="shared" si="26"/>
        <v>0</v>
      </c>
      <c r="J50" s="419"/>
      <c r="K50" s="419">
        <f t="shared" si="27"/>
        <v>0</v>
      </c>
      <c r="L50" s="419"/>
      <c r="M50" s="419"/>
      <c r="N50" s="419"/>
      <c r="O50" s="419"/>
      <c r="P50" s="449">
        <v>8</v>
      </c>
      <c r="Q50" s="419">
        <f>P50*16</f>
        <v>128</v>
      </c>
      <c r="R50" s="449"/>
      <c r="S50" s="419"/>
      <c r="T50" s="436">
        <f>H50+J50+L50+N50+P50+R50</f>
        <v>8</v>
      </c>
      <c r="U50" s="437">
        <f>I50+K50+M50+O50+Q50+S50</f>
        <v>128</v>
      </c>
    </row>
    <row r="51" spans="2:21">
      <c r="B51" s="1067"/>
      <c r="C51" s="971"/>
      <c r="D51" s="450" t="s">
        <v>849</v>
      </c>
      <c r="E51" s="448" t="s">
        <v>850</v>
      </c>
      <c r="F51" s="419">
        <f>U51</f>
        <v>112</v>
      </c>
      <c r="G51" s="439">
        <v>5</v>
      </c>
      <c r="H51" s="440"/>
      <c r="I51" s="440">
        <f t="shared" si="26"/>
        <v>0</v>
      </c>
      <c r="J51" s="440"/>
      <c r="K51" s="440">
        <f t="shared" si="27"/>
        <v>0</v>
      </c>
      <c r="L51" s="440"/>
      <c r="M51" s="440"/>
      <c r="N51" s="440"/>
      <c r="O51" s="440"/>
      <c r="P51" s="451"/>
      <c r="Q51" s="440"/>
      <c r="R51" s="451">
        <v>7</v>
      </c>
      <c r="S51" s="440">
        <f t="shared" ref="S51:S74" si="32">R51*16</f>
        <v>112</v>
      </c>
      <c r="T51" s="441">
        <f>H51+J51+L51+N51+P51+R51</f>
        <v>7</v>
      </c>
      <c r="U51" s="442">
        <f>I51+K51+M51+O51+Q51+S51</f>
        <v>112</v>
      </c>
    </row>
    <row r="52" spans="2:21" ht="18" thickBot="1">
      <c r="B52" s="1082"/>
      <c r="C52" s="972"/>
      <c r="D52" s="1090" t="s">
        <v>16</v>
      </c>
      <c r="E52" s="1090"/>
      <c r="F52" s="428"/>
      <c r="G52" s="428"/>
      <c r="H52" s="429">
        <f>SUM(H50:H51)</f>
        <v>0</v>
      </c>
      <c r="I52" s="430">
        <f t="shared" si="26"/>
        <v>0</v>
      </c>
      <c r="J52" s="429">
        <f>SUM(J50:J51)</f>
        <v>0</v>
      </c>
      <c r="K52" s="430">
        <f t="shared" si="27"/>
        <v>0</v>
      </c>
      <c r="L52" s="429">
        <f>SUM(L50:L51)</f>
        <v>0</v>
      </c>
      <c r="M52" s="430">
        <f t="shared" ref="M52:M62" si="33">L52*16</f>
        <v>0</v>
      </c>
      <c r="N52" s="429">
        <f>SUM(N50:N51)</f>
        <v>0</v>
      </c>
      <c r="O52" s="430">
        <f t="shared" ref="O52:O62" si="34">N52*16</f>
        <v>0</v>
      </c>
      <c r="P52" s="429">
        <f>SUM(P50:P51)</f>
        <v>8</v>
      </c>
      <c r="Q52" s="429">
        <f t="shared" ref="Q52:Q74" si="35">P52*16</f>
        <v>128</v>
      </c>
      <c r="R52" s="429">
        <f>SUM(R50:R51)</f>
        <v>7</v>
      </c>
      <c r="S52" s="429">
        <f t="shared" si="32"/>
        <v>112</v>
      </c>
      <c r="T52" s="431">
        <f t="shared" ref="T52:U67" si="36">H52+J52+L52+N52+P52+R52</f>
        <v>15</v>
      </c>
      <c r="U52" s="432">
        <f t="shared" si="36"/>
        <v>240</v>
      </c>
    </row>
    <row r="53" spans="2:21">
      <c r="B53" s="1081" t="s">
        <v>888</v>
      </c>
      <c r="C53" s="1089">
        <f>T57</f>
        <v>18</v>
      </c>
      <c r="D53" s="433" t="s">
        <v>851</v>
      </c>
      <c r="E53" s="433" t="s">
        <v>852</v>
      </c>
      <c r="F53" s="419">
        <f>U53</f>
        <v>48</v>
      </c>
      <c r="G53" s="452">
        <v>4</v>
      </c>
      <c r="H53" s="419"/>
      <c r="I53" s="419">
        <f t="shared" si="26"/>
        <v>0</v>
      </c>
      <c r="J53" s="419"/>
      <c r="K53" s="419">
        <f t="shared" si="27"/>
        <v>0</v>
      </c>
      <c r="L53" s="419"/>
      <c r="M53" s="419">
        <f t="shared" si="33"/>
        <v>0</v>
      </c>
      <c r="N53" s="419"/>
      <c r="O53" s="419">
        <f t="shared" si="34"/>
        <v>0</v>
      </c>
      <c r="P53" s="419">
        <v>3</v>
      </c>
      <c r="Q53" s="419">
        <f t="shared" si="35"/>
        <v>48</v>
      </c>
      <c r="R53" s="419"/>
      <c r="S53" s="419">
        <f t="shared" si="32"/>
        <v>0</v>
      </c>
      <c r="T53" s="436">
        <f t="shared" si="36"/>
        <v>3</v>
      </c>
      <c r="U53" s="437">
        <f t="shared" si="36"/>
        <v>48</v>
      </c>
    </row>
    <row r="54" spans="2:21">
      <c r="B54" s="1067"/>
      <c r="C54" s="971"/>
      <c r="D54" s="438" t="s">
        <v>853</v>
      </c>
      <c r="E54" s="438" t="s">
        <v>854</v>
      </c>
      <c r="F54" s="419">
        <f>U54</f>
        <v>64</v>
      </c>
      <c r="G54" s="434">
        <v>4</v>
      </c>
      <c r="H54" s="440"/>
      <c r="I54" s="440">
        <f t="shared" si="26"/>
        <v>0</v>
      </c>
      <c r="J54" s="440"/>
      <c r="K54" s="440">
        <f t="shared" si="27"/>
        <v>0</v>
      </c>
      <c r="L54" s="440"/>
      <c r="M54" s="440">
        <f t="shared" si="33"/>
        <v>0</v>
      </c>
      <c r="N54" s="440"/>
      <c r="O54" s="440">
        <f t="shared" si="34"/>
        <v>0</v>
      </c>
      <c r="P54" s="440">
        <v>4</v>
      </c>
      <c r="Q54" s="440">
        <f t="shared" si="35"/>
        <v>64</v>
      </c>
      <c r="R54" s="440"/>
      <c r="S54" s="440">
        <f t="shared" si="32"/>
        <v>0</v>
      </c>
      <c r="T54" s="441">
        <f t="shared" si="36"/>
        <v>4</v>
      </c>
      <c r="U54" s="442">
        <f t="shared" si="36"/>
        <v>64</v>
      </c>
    </row>
    <row r="55" spans="2:21">
      <c r="B55" s="1067"/>
      <c r="C55" s="971"/>
      <c r="D55" s="438" t="s">
        <v>855</v>
      </c>
      <c r="E55" s="438" t="s">
        <v>856</v>
      </c>
      <c r="F55" s="419">
        <f>U55</f>
        <v>80</v>
      </c>
      <c r="G55" s="453">
        <v>4</v>
      </c>
      <c r="H55" s="440"/>
      <c r="I55" s="440">
        <f t="shared" si="26"/>
        <v>0</v>
      </c>
      <c r="J55" s="440"/>
      <c r="K55" s="440">
        <f t="shared" si="27"/>
        <v>0</v>
      </c>
      <c r="L55" s="440"/>
      <c r="M55" s="440">
        <f t="shared" si="33"/>
        <v>0</v>
      </c>
      <c r="N55" s="440"/>
      <c r="O55" s="440">
        <f t="shared" si="34"/>
        <v>0</v>
      </c>
      <c r="P55" s="440"/>
      <c r="Q55" s="440">
        <f t="shared" si="35"/>
        <v>0</v>
      </c>
      <c r="R55" s="440">
        <v>5</v>
      </c>
      <c r="S55" s="440">
        <f t="shared" si="32"/>
        <v>80</v>
      </c>
      <c r="T55" s="441">
        <f t="shared" si="36"/>
        <v>5</v>
      </c>
      <c r="U55" s="442">
        <f t="shared" si="36"/>
        <v>80</v>
      </c>
    </row>
    <row r="56" spans="2:21">
      <c r="B56" s="1067"/>
      <c r="C56" s="971"/>
      <c r="D56" s="438" t="s">
        <v>857</v>
      </c>
      <c r="E56" s="438" t="s">
        <v>858</v>
      </c>
      <c r="F56" s="419">
        <f>U56</f>
        <v>96</v>
      </c>
      <c r="G56" s="453">
        <v>5</v>
      </c>
      <c r="H56" s="440"/>
      <c r="I56" s="440">
        <f t="shared" si="26"/>
        <v>0</v>
      </c>
      <c r="J56" s="440"/>
      <c r="K56" s="440">
        <f t="shared" si="27"/>
        <v>0</v>
      </c>
      <c r="L56" s="440"/>
      <c r="M56" s="440">
        <f t="shared" si="33"/>
        <v>0</v>
      </c>
      <c r="N56" s="440"/>
      <c r="O56" s="440">
        <f t="shared" si="34"/>
        <v>0</v>
      </c>
      <c r="P56" s="440"/>
      <c r="Q56" s="440">
        <f t="shared" si="35"/>
        <v>0</v>
      </c>
      <c r="R56" s="440">
        <v>6</v>
      </c>
      <c r="S56" s="440">
        <f t="shared" si="32"/>
        <v>96</v>
      </c>
      <c r="T56" s="441">
        <f t="shared" si="36"/>
        <v>6</v>
      </c>
      <c r="U56" s="442">
        <f t="shared" si="36"/>
        <v>96</v>
      </c>
    </row>
    <row r="57" spans="2:21" ht="18" thickBot="1">
      <c r="B57" s="1082"/>
      <c r="C57" s="972"/>
      <c r="D57" s="1090" t="s">
        <v>16</v>
      </c>
      <c r="E57" s="1090"/>
      <c r="F57" s="428"/>
      <c r="G57" s="428"/>
      <c r="H57" s="429">
        <f>SUM(H53:H56)</f>
        <v>0</v>
      </c>
      <c r="I57" s="430">
        <f t="shared" si="26"/>
        <v>0</v>
      </c>
      <c r="J57" s="429">
        <f>SUM(J53:J56)</f>
        <v>0</v>
      </c>
      <c r="K57" s="430">
        <f t="shared" si="27"/>
        <v>0</v>
      </c>
      <c r="L57" s="429">
        <f>SUM(L53:L56)</f>
        <v>0</v>
      </c>
      <c r="M57" s="430">
        <f t="shared" si="33"/>
        <v>0</v>
      </c>
      <c r="N57" s="429">
        <f>SUM(N53:N56)</f>
        <v>0</v>
      </c>
      <c r="O57" s="430">
        <f t="shared" si="34"/>
        <v>0</v>
      </c>
      <c r="P57" s="429">
        <f>SUM(P53:P56)</f>
        <v>7</v>
      </c>
      <c r="Q57" s="429">
        <f t="shared" si="35"/>
        <v>112</v>
      </c>
      <c r="R57" s="429">
        <f>SUM(R53:R56)</f>
        <v>11</v>
      </c>
      <c r="S57" s="429">
        <f t="shared" si="32"/>
        <v>176</v>
      </c>
      <c r="T57" s="431">
        <f t="shared" si="36"/>
        <v>18</v>
      </c>
      <c r="U57" s="432">
        <f t="shared" si="36"/>
        <v>288</v>
      </c>
    </row>
    <row r="58" spans="2:21">
      <c r="B58" s="1066" t="s">
        <v>889</v>
      </c>
      <c r="C58" s="970">
        <f>T62</f>
        <v>16</v>
      </c>
      <c r="D58" s="454" t="s">
        <v>859</v>
      </c>
      <c r="E58" s="454" t="s">
        <v>860</v>
      </c>
      <c r="F58" s="419">
        <f>U58</f>
        <v>64</v>
      </c>
      <c r="G58" s="434">
        <v>2</v>
      </c>
      <c r="H58" s="419"/>
      <c r="I58" s="419">
        <f t="shared" si="26"/>
        <v>0</v>
      </c>
      <c r="J58" s="419"/>
      <c r="K58" s="419">
        <f t="shared" si="27"/>
        <v>0</v>
      </c>
      <c r="L58" s="473">
        <v>4</v>
      </c>
      <c r="M58" s="473">
        <f t="shared" si="33"/>
        <v>64</v>
      </c>
      <c r="N58" s="473"/>
      <c r="O58" s="473">
        <f t="shared" si="34"/>
        <v>0</v>
      </c>
      <c r="P58" s="449"/>
      <c r="Q58" s="419"/>
      <c r="R58" s="449"/>
      <c r="S58" s="419">
        <f>R58*16</f>
        <v>0</v>
      </c>
      <c r="T58" s="436">
        <f t="shared" si="36"/>
        <v>4</v>
      </c>
      <c r="U58" s="437">
        <f t="shared" si="36"/>
        <v>64</v>
      </c>
    </row>
    <row r="59" spans="2:21">
      <c r="B59" s="1081"/>
      <c r="C59" s="1089"/>
      <c r="D59" s="450" t="s">
        <v>861</v>
      </c>
      <c r="E59" s="450" t="s">
        <v>862</v>
      </c>
      <c r="F59" s="419">
        <f>U59</f>
        <v>64</v>
      </c>
      <c r="G59" s="434">
        <v>2</v>
      </c>
      <c r="H59" s="440"/>
      <c r="I59" s="440">
        <f t="shared" si="26"/>
        <v>0</v>
      </c>
      <c r="J59" s="440"/>
      <c r="K59" s="440">
        <f t="shared" si="27"/>
        <v>0</v>
      </c>
      <c r="L59" s="474">
        <v>4</v>
      </c>
      <c r="M59" s="474">
        <f t="shared" si="33"/>
        <v>64</v>
      </c>
      <c r="N59" s="474"/>
      <c r="O59" s="474">
        <f t="shared" si="34"/>
        <v>0</v>
      </c>
      <c r="P59" s="451"/>
      <c r="Q59" s="440"/>
      <c r="R59" s="451"/>
      <c r="S59" s="440">
        <f>R59*16</f>
        <v>0</v>
      </c>
      <c r="T59" s="441">
        <f t="shared" si="36"/>
        <v>4</v>
      </c>
      <c r="U59" s="442">
        <f t="shared" si="36"/>
        <v>64</v>
      </c>
    </row>
    <row r="60" spans="2:21">
      <c r="B60" s="1068"/>
      <c r="C60" s="1069"/>
      <c r="D60" s="450" t="s">
        <v>863</v>
      </c>
      <c r="E60" s="450" t="s">
        <v>864</v>
      </c>
      <c r="F60" s="419">
        <f>U60</f>
        <v>64</v>
      </c>
      <c r="G60" s="434">
        <v>2</v>
      </c>
      <c r="H60" s="440"/>
      <c r="I60" s="440">
        <f t="shared" si="26"/>
        <v>0</v>
      </c>
      <c r="J60" s="440"/>
      <c r="K60" s="440">
        <f t="shared" si="27"/>
        <v>0</v>
      </c>
      <c r="L60" s="474"/>
      <c r="M60" s="474">
        <f t="shared" si="33"/>
        <v>0</v>
      </c>
      <c r="N60" s="474">
        <v>4</v>
      </c>
      <c r="O60" s="474">
        <f t="shared" si="34"/>
        <v>64</v>
      </c>
      <c r="P60" s="451"/>
      <c r="Q60" s="440">
        <f>P60*16</f>
        <v>0</v>
      </c>
      <c r="R60" s="451"/>
      <c r="S60" s="440"/>
      <c r="T60" s="441">
        <f t="shared" si="36"/>
        <v>4</v>
      </c>
      <c r="U60" s="442">
        <f t="shared" si="36"/>
        <v>64</v>
      </c>
    </row>
    <row r="61" spans="2:21">
      <c r="B61" s="1068"/>
      <c r="C61" s="1069"/>
      <c r="D61" s="450" t="s">
        <v>865</v>
      </c>
      <c r="E61" s="450" t="s">
        <v>866</v>
      </c>
      <c r="F61" s="419">
        <f>U61</f>
        <v>64</v>
      </c>
      <c r="G61" s="453">
        <v>2</v>
      </c>
      <c r="H61" s="440"/>
      <c r="I61" s="440">
        <f t="shared" si="26"/>
        <v>0</v>
      </c>
      <c r="J61" s="440"/>
      <c r="K61" s="440">
        <f t="shared" si="27"/>
        <v>0</v>
      </c>
      <c r="L61" s="474"/>
      <c r="M61" s="474">
        <f t="shared" si="33"/>
        <v>0</v>
      </c>
      <c r="N61" s="474">
        <v>4</v>
      </c>
      <c r="O61" s="474">
        <f t="shared" si="34"/>
        <v>64</v>
      </c>
      <c r="P61" s="451"/>
      <c r="Q61" s="440">
        <f>P61*16</f>
        <v>0</v>
      </c>
      <c r="R61" s="451"/>
      <c r="S61" s="440"/>
      <c r="T61" s="441">
        <f t="shared" si="36"/>
        <v>4</v>
      </c>
      <c r="U61" s="442">
        <f t="shared" si="36"/>
        <v>64</v>
      </c>
    </row>
    <row r="62" spans="2:21" ht="18" thickBot="1">
      <c r="B62" s="1082"/>
      <c r="C62" s="972"/>
      <c r="D62" s="1098" t="s">
        <v>16</v>
      </c>
      <c r="E62" s="1098"/>
      <c r="F62" s="428"/>
      <c r="G62" s="428"/>
      <c r="H62" s="429">
        <f>SUM(H58:H61)</f>
        <v>0</v>
      </c>
      <c r="I62" s="430">
        <f t="shared" si="26"/>
        <v>0</v>
      </c>
      <c r="J62" s="429">
        <f>SUM(J58:J61)</f>
        <v>0</v>
      </c>
      <c r="K62" s="430">
        <f t="shared" si="27"/>
        <v>0</v>
      </c>
      <c r="L62" s="475">
        <f>SUM(L58:L61)</f>
        <v>8</v>
      </c>
      <c r="M62" s="475">
        <f t="shared" si="33"/>
        <v>128</v>
      </c>
      <c r="N62" s="475">
        <f>SUM(N58:N61)</f>
        <v>8</v>
      </c>
      <c r="O62" s="475">
        <f t="shared" si="34"/>
        <v>128</v>
      </c>
      <c r="P62" s="429">
        <f>SUM(P58:P61)</f>
        <v>0</v>
      </c>
      <c r="Q62" s="430">
        <f t="shared" si="35"/>
        <v>0</v>
      </c>
      <c r="R62" s="429">
        <f>SUM(R58:R61)</f>
        <v>0</v>
      </c>
      <c r="S62" s="430">
        <f t="shared" si="32"/>
        <v>0</v>
      </c>
      <c r="T62" s="431">
        <f t="shared" si="36"/>
        <v>16</v>
      </c>
      <c r="U62" s="432">
        <f t="shared" si="36"/>
        <v>256</v>
      </c>
    </row>
    <row r="63" spans="2:21" ht="16.5" customHeight="1">
      <c r="B63" s="1076" t="s">
        <v>995</v>
      </c>
      <c r="C63" s="1093">
        <f>T65</f>
        <v>10</v>
      </c>
      <c r="D63" s="438" t="s">
        <v>867</v>
      </c>
      <c r="E63" s="438" t="s">
        <v>868</v>
      </c>
      <c r="F63" s="434">
        <v>80</v>
      </c>
      <c r="G63" s="434">
        <v>2</v>
      </c>
      <c r="H63" s="440"/>
      <c r="I63" s="440">
        <f>H63*16</f>
        <v>0</v>
      </c>
      <c r="J63" s="440"/>
      <c r="K63" s="440">
        <f>J63*16</f>
        <v>0</v>
      </c>
      <c r="L63" s="440"/>
      <c r="M63" s="440">
        <f>L63*16</f>
        <v>0</v>
      </c>
      <c r="N63" s="440"/>
      <c r="O63" s="440">
        <f>N63*16</f>
        <v>0</v>
      </c>
      <c r="P63" s="440">
        <v>5</v>
      </c>
      <c r="Q63" s="440">
        <f>P63*16</f>
        <v>80</v>
      </c>
      <c r="R63" s="440"/>
      <c r="S63" s="440"/>
      <c r="T63" s="441">
        <f t="shared" si="36"/>
        <v>5</v>
      </c>
      <c r="U63" s="442">
        <f t="shared" si="36"/>
        <v>80</v>
      </c>
    </row>
    <row r="64" spans="2:21">
      <c r="B64" s="1057"/>
      <c r="C64" s="1099"/>
      <c r="D64" s="438" t="s">
        <v>869</v>
      </c>
      <c r="E64" s="438" t="s">
        <v>870</v>
      </c>
      <c r="F64" s="434">
        <v>80</v>
      </c>
      <c r="G64" s="434">
        <v>2</v>
      </c>
      <c r="H64" s="440"/>
      <c r="I64" s="440">
        <f>H64*16</f>
        <v>0</v>
      </c>
      <c r="J64" s="440"/>
      <c r="K64" s="440">
        <f>J64*16</f>
        <v>0</v>
      </c>
      <c r="L64" s="440"/>
      <c r="M64" s="440">
        <f>L64*16</f>
        <v>0</v>
      </c>
      <c r="N64" s="440"/>
      <c r="O64" s="440">
        <f>N64*16</f>
        <v>0</v>
      </c>
      <c r="P64" s="440">
        <v>5</v>
      </c>
      <c r="Q64" s="440">
        <f>P64*16</f>
        <v>80</v>
      </c>
      <c r="R64" s="440"/>
      <c r="S64" s="440"/>
      <c r="T64" s="441">
        <f t="shared" si="36"/>
        <v>5</v>
      </c>
      <c r="U64" s="442">
        <f t="shared" si="36"/>
        <v>80</v>
      </c>
    </row>
    <row r="65" spans="2:21" ht="18" thickBot="1">
      <c r="B65" s="1058"/>
      <c r="C65" s="1100"/>
      <c r="D65" s="1095" t="s">
        <v>16</v>
      </c>
      <c r="E65" s="1096"/>
      <c r="F65" s="428"/>
      <c r="G65" s="428"/>
      <c r="H65" s="429">
        <f>SUM(H63:H64)</f>
        <v>0</v>
      </c>
      <c r="I65" s="430">
        <f>H65*16</f>
        <v>0</v>
      </c>
      <c r="J65" s="429">
        <f>SUM(J63:J64)</f>
        <v>0</v>
      </c>
      <c r="K65" s="430">
        <f>J65*16</f>
        <v>0</v>
      </c>
      <c r="L65" s="429">
        <f>SUM(L63:L64)</f>
        <v>0</v>
      </c>
      <c r="M65" s="430">
        <f>L65*16</f>
        <v>0</v>
      </c>
      <c r="N65" s="429">
        <f>SUM(N63:N64)</f>
        <v>0</v>
      </c>
      <c r="O65" s="430">
        <f>N65*16</f>
        <v>0</v>
      </c>
      <c r="P65" s="429">
        <f>SUM(P63:P64)</f>
        <v>10</v>
      </c>
      <c r="Q65" s="429">
        <f t="shared" ref="Q65" si="37">P65*16</f>
        <v>160</v>
      </c>
      <c r="R65" s="429">
        <f>SUM(R63:R64)</f>
        <v>0</v>
      </c>
      <c r="S65" s="430">
        <f t="shared" ref="S65" si="38">R65*16</f>
        <v>0</v>
      </c>
      <c r="T65" s="431">
        <f t="shared" si="36"/>
        <v>10</v>
      </c>
      <c r="U65" s="432">
        <f t="shared" si="36"/>
        <v>160</v>
      </c>
    </row>
    <row r="66" spans="2:21">
      <c r="B66" s="1081" t="s">
        <v>890</v>
      </c>
      <c r="C66" s="1089">
        <f>T70</f>
        <v>18</v>
      </c>
      <c r="D66" s="448" t="s">
        <v>871</v>
      </c>
      <c r="E66" s="448" t="s">
        <v>872</v>
      </c>
      <c r="F66" s="419">
        <f>U66</f>
        <v>64</v>
      </c>
      <c r="G66" s="435">
        <v>5</v>
      </c>
      <c r="H66" s="419"/>
      <c r="I66" s="419">
        <f t="shared" si="26"/>
        <v>0</v>
      </c>
      <c r="J66" s="419"/>
      <c r="K66" s="419">
        <f t="shared" si="27"/>
        <v>0</v>
      </c>
      <c r="L66" s="419"/>
      <c r="M66" s="419"/>
      <c r="N66" s="419"/>
      <c r="O66" s="419"/>
      <c r="P66" s="449">
        <v>4</v>
      </c>
      <c r="Q66" s="419">
        <f t="shared" si="35"/>
        <v>64</v>
      </c>
      <c r="R66" s="449"/>
      <c r="S66" s="419">
        <f t="shared" si="32"/>
        <v>0</v>
      </c>
      <c r="T66" s="436">
        <f t="shared" si="36"/>
        <v>4</v>
      </c>
      <c r="U66" s="437">
        <f t="shared" si="36"/>
        <v>64</v>
      </c>
    </row>
    <row r="67" spans="2:21">
      <c r="B67" s="1067"/>
      <c r="C67" s="971"/>
      <c r="D67" s="450" t="s">
        <v>873</v>
      </c>
      <c r="E67" s="450" t="s">
        <v>874</v>
      </c>
      <c r="F67" s="419">
        <f>U67</f>
        <v>48</v>
      </c>
      <c r="G67" s="439">
        <v>5</v>
      </c>
      <c r="H67" s="440"/>
      <c r="I67" s="440">
        <f t="shared" si="26"/>
        <v>0</v>
      </c>
      <c r="J67" s="440"/>
      <c r="K67" s="440">
        <f t="shared" si="27"/>
        <v>0</v>
      </c>
      <c r="L67" s="440"/>
      <c r="M67" s="440"/>
      <c r="N67" s="440"/>
      <c r="O67" s="440"/>
      <c r="P67" s="451">
        <v>3</v>
      </c>
      <c r="Q67" s="440">
        <f t="shared" si="35"/>
        <v>48</v>
      </c>
      <c r="R67" s="451"/>
      <c r="S67" s="440">
        <f t="shared" si="32"/>
        <v>0</v>
      </c>
      <c r="T67" s="441">
        <f t="shared" si="36"/>
        <v>3</v>
      </c>
      <c r="U67" s="442">
        <f t="shared" si="36"/>
        <v>48</v>
      </c>
    </row>
    <row r="68" spans="2:21">
      <c r="B68" s="1067"/>
      <c r="C68" s="971"/>
      <c r="D68" s="450" t="s">
        <v>875</v>
      </c>
      <c r="E68" s="450" t="s">
        <v>876</v>
      </c>
      <c r="F68" s="419">
        <f>U68</f>
        <v>96</v>
      </c>
      <c r="G68" s="455">
        <v>5</v>
      </c>
      <c r="H68" s="440"/>
      <c r="I68" s="440">
        <f t="shared" si="26"/>
        <v>0</v>
      </c>
      <c r="J68" s="440"/>
      <c r="K68" s="440">
        <f t="shared" si="27"/>
        <v>0</v>
      </c>
      <c r="L68" s="440"/>
      <c r="M68" s="440"/>
      <c r="N68" s="440"/>
      <c r="O68" s="440"/>
      <c r="P68" s="451"/>
      <c r="Q68" s="440">
        <f t="shared" si="35"/>
        <v>0</v>
      </c>
      <c r="R68" s="451">
        <v>6</v>
      </c>
      <c r="S68" s="440">
        <f t="shared" si="32"/>
        <v>96</v>
      </c>
      <c r="T68" s="441">
        <f t="shared" ref="T68:U75" si="39">H68+J68+L68+N68+P68+R68</f>
        <v>6</v>
      </c>
      <c r="U68" s="442">
        <f t="shared" si="39"/>
        <v>96</v>
      </c>
    </row>
    <row r="69" spans="2:21">
      <c r="B69" s="1067"/>
      <c r="C69" s="971"/>
      <c r="D69" s="450" t="s">
        <v>877</v>
      </c>
      <c r="E69" s="450" t="s">
        <v>878</v>
      </c>
      <c r="F69" s="419">
        <f>U69</f>
        <v>80</v>
      </c>
      <c r="G69" s="455">
        <v>6</v>
      </c>
      <c r="H69" s="440"/>
      <c r="I69" s="440">
        <f t="shared" si="26"/>
        <v>0</v>
      </c>
      <c r="J69" s="440"/>
      <c r="K69" s="440">
        <f t="shared" si="27"/>
        <v>0</v>
      </c>
      <c r="L69" s="440"/>
      <c r="M69" s="440"/>
      <c r="N69" s="440"/>
      <c r="O69" s="440"/>
      <c r="P69" s="451"/>
      <c r="Q69" s="440">
        <f t="shared" si="35"/>
        <v>0</v>
      </c>
      <c r="R69" s="451">
        <v>5</v>
      </c>
      <c r="S69" s="440">
        <f t="shared" si="32"/>
        <v>80</v>
      </c>
      <c r="T69" s="441">
        <f t="shared" si="39"/>
        <v>5</v>
      </c>
      <c r="U69" s="442">
        <f t="shared" si="39"/>
        <v>80</v>
      </c>
    </row>
    <row r="70" spans="2:21" ht="18" thickBot="1">
      <c r="B70" s="1082"/>
      <c r="C70" s="972"/>
      <c r="D70" s="1090" t="s">
        <v>16</v>
      </c>
      <c r="E70" s="1090"/>
      <c r="F70" s="428"/>
      <c r="G70" s="428"/>
      <c r="H70" s="429">
        <f>SUM(H66:H69)</f>
        <v>0</v>
      </c>
      <c r="I70" s="430">
        <f t="shared" si="26"/>
        <v>0</v>
      </c>
      <c r="J70" s="429">
        <f>SUM(J66:J69)</f>
        <v>0</v>
      </c>
      <c r="K70" s="430">
        <f t="shared" si="27"/>
        <v>0</v>
      </c>
      <c r="L70" s="429">
        <f>SUM(L66:L69)</f>
        <v>0</v>
      </c>
      <c r="M70" s="430">
        <f t="shared" ref="M70" si="40">L70*16</f>
        <v>0</v>
      </c>
      <c r="N70" s="429">
        <f>SUM(N66:N69)</f>
        <v>0</v>
      </c>
      <c r="O70" s="430">
        <f t="shared" ref="O70" si="41">N70*16</f>
        <v>0</v>
      </c>
      <c r="P70" s="429">
        <f>SUM(P66:P69)</f>
        <v>7</v>
      </c>
      <c r="Q70" s="429">
        <f t="shared" si="35"/>
        <v>112</v>
      </c>
      <c r="R70" s="429">
        <f>SUM(R66:R69)</f>
        <v>11</v>
      </c>
      <c r="S70" s="429">
        <f t="shared" si="32"/>
        <v>176</v>
      </c>
      <c r="T70" s="431">
        <f t="shared" si="39"/>
        <v>18</v>
      </c>
      <c r="U70" s="432">
        <f t="shared" si="39"/>
        <v>288</v>
      </c>
    </row>
    <row r="71" spans="2:21">
      <c r="B71" s="1081" t="s">
        <v>891</v>
      </c>
      <c r="C71" s="1089">
        <f>T75</f>
        <v>15</v>
      </c>
      <c r="D71" s="448" t="s">
        <v>879</v>
      </c>
      <c r="E71" s="450" t="s">
        <v>880</v>
      </c>
      <c r="F71" s="419">
        <f>U71</f>
        <v>64</v>
      </c>
      <c r="G71" s="435">
        <v>2</v>
      </c>
      <c r="H71" s="419"/>
      <c r="I71" s="419">
        <f t="shared" si="26"/>
        <v>0</v>
      </c>
      <c r="J71" s="419"/>
      <c r="K71" s="419">
        <f t="shared" si="27"/>
        <v>0</v>
      </c>
      <c r="L71" s="419"/>
      <c r="M71" s="419"/>
      <c r="N71" s="419"/>
      <c r="O71" s="419"/>
      <c r="P71" s="449">
        <v>4</v>
      </c>
      <c r="Q71" s="419">
        <f t="shared" si="35"/>
        <v>64</v>
      </c>
      <c r="R71" s="449"/>
      <c r="S71" s="419">
        <f t="shared" si="32"/>
        <v>0</v>
      </c>
      <c r="T71" s="436">
        <f t="shared" si="39"/>
        <v>4</v>
      </c>
      <c r="U71" s="437">
        <f t="shared" si="39"/>
        <v>64</v>
      </c>
    </row>
    <row r="72" spans="2:21">
      <c r="B72" s="1067"/>
      <c r="C72" s="971"/>
      <c r="D72" s="450" t="s">
        <v>881</v>
      </c>
      <c r="E72" s="450" t="s">
        <v>882</v>
      </c>
      <c r="F72" s="419">
        <f>U72</f>
        <v>64</v>
      </c>
      <c r="G72" s="439">
        <v>3</v>
      </c>
      <c r="H72" s="440"/>
      <c r="I72" s="440">
        <f t="shared" si="26"/>
        <v>0</v>
      </c>
      <c r="J72" s="440"/>
      <c r="K72" s="440">
        <f t="shared" si="27"/>
        <v>0</v>
      </c>
      <c r="L72" s="440"/>
      <c r="M72" s="440"/>
      <c r="N72" s="440"/>
      <c r="O72" s="440"/>
      <c r="P72" s="451">
        <v>4</v>
      </c>
      <c r="Q72" s="440">
        <f t="shared" si="35"/>
        <v>64</v>
      </c>
      <c r="R72" s="451"/>
      <c r="S72" s="440">
        <f t="shared" si="32"/>
        <v>0</v>
      </c>
      <c r="T72" s="441">
        <f t="shared" si="39"/>
        <v>4</v>
      </c>
      <c r="U72" s="442">
        <f t="shared" si="39"/>
        <v>64</v>
      </c>
    </row>
    <row r="73" spans="2:21">
      <c r="B73" s="1067"/>
      <c r="C73" s="971"/>
      <c r="D73" s="450" t="s">
        <v>883</v>
      </c>
      <c r="E73" s="450" t="s">
        <v>884</v>
      </c>
      <c r="F73" s="419">
        <f>U73</f>
        <v>64</v>
      </c>
      <c r="G73" s="455">
        <v>3</v>
      </c>
      <c r="H73" s="440"/>
      <c r="I73" s="440">
        <f t="shared" si="26"/>
        <v>0</v>
      </c>
      <c r="J73" s="440"/>
      <c r="K73" s="440">
        <f t="shared" si="27"/>
        <v>0</v>
      </c>
      <c r="L73" s="440"/>
      <c r="M73" s="440"/>
      <c r="N73" s="440"/>
      <c r="O73" s="440"/>
      <c r="P73" s="451"/>
      <c r="Q73" s="440">
        <f t="shared" si="35"/>
        <v>0</v>
      </c>
      <c r="R73" s="451">
        <v>4</v>
      </c>
      <c r="S73" s="440">
        <f t="shared" si="32"/>
        <v>64</v>
      </c>
      <c r="T73" s="441">
        <f t="shared" si="39"/>
        <v>4</v>
      </c>
      <c r="U73" s="442">
        <f t="shared" si="39"/>
        <v>64</v>
      </c>
    </row>
    <row r="74" spans="2:21">
      <c r="B74" s="1067"/>
      <c r="C74" s="971"/>
      <c r="D74" s="450" t="s">
        <v>885</v>
      </c>
      <c r="E74" s="450" t="s">
        <v>886</v>
      </c>
      <c r="F74" s="419">
        <f>U74</f>
        <v>48</v>
      </c>
      <c r="G74" s="455">
        <v>3</v>
      </c>
      <c r="H74" s="440"/>
      <c r="I74" s="440">
        <f t="shared" si="26"/>
        <v>0</v>
      </c>
      <c r="J74" s="440"/>
      <c r="K74" s="440">
        <f t="shared" si="27"/>
        <v>0</v>
      </c>
      <c r="L74" s="440"/>
      <c r="M74" s="440"/>
      <c r="N74" s="440"/>
      <c r="O74" s="440"/>
      <c r="P74" s="451"/>
      <c r="Q74" s="440">
        <f t="shared" si="35"/>
        <v>0</v>
      </c>
      <c r="R74" s="451">
        <v>3</v>
      </c>
      <c r="S74" s="440">
        <f t="shared" si="32"/>
        <v>48</v>
      </c>
      <c r="T74" s="441">
        <f t="shared" si="39"/>
        <v>3</v>
      </c>
      <c r="U74" s="442">
        <f t="shared" si="39"/>
        <v>48</v>
      </c>
    </row>
    <row r="75" spans="2:21" ht="18" thickBot="1">
      <c r="B75" s="1082"/>
      <c r="C75" s="972"/>
      <c r="D75" s="1090" t="s">
        <v>16</v>
      </c>
      <c r="E75" s="1090"/>
      <c r="F75" s="428"/>
      <c r="G75" s="428"/>
      <c r="H75" s="429">
        <f>SUM(H71:H74)</f>
        <v>0</v>
      </c>
      <c r="I75" s="430">
        <f t="shared" si="26"/>
        <v>0</v>
      </c>
      <c r="J75" s="429">
        <f>SUM(J71:J74)</f>
        <v>0</v>
      </c>
      <c r="K75" s="430">
        <f t="shared" si="27"/>
        <v>0</v>
      </c>
      <c r="L75" s="429">
        <f>SUM(L71:L74)</f>
        <v>0</v>
      </c>
      <c r="M75" s="430">
        <f t="shared" ref="M75" si="42">L75*16</f>
        <v>0</v>
      </c>
      <c r="N75" s="429">
        <f>SUM(N71:N74)</f>
        <v>0</v>
      </c>
      <c r="O75" s="430">
        <f t="shared" ref="O75" si="43">N75*16</f>
        <v>0</v>
      </c>
      <c r="P75" s="429">
        <f>SUM(P71:P74)</f>
        <v>8</v>
      </c>
      <c r="Q75" s="429">
        <f>P75*16</f>
        <v>128</v>
      </c>
      <c r="R75" s="429">
        <f>SUM(R71:R74)</f>
        <v>7</v>
      </c>
      <c r="S75" s="429">
        <f>R75*16</f>
        <v>112</v>
      </c>
      <c r="T75" s="431">
        <f t="shared" si="39"/>
        <v>15</v>
      </c>
      <c r="U75" s="432">
        <f t="shared" si="39"/>
        <v>240</v>
      </c>
    </row>
  </sheetData>
  <mergeCells count="75">
    <mergeCell ref="B66:B70"/>
    <mergeCell ref="C66:C70"/>
    <mergeCell ref="D70:E70"/>
    <mergeCell ref="B71:B75"/>
    <mergeCell ref="C71:C75"/>
    <mergeCell ref="D75:E75"/>
    <mergeCell ref="B58:B62"/>
    <mergeCell ref="C58:C62"/>
    <mergeCell ref="D62:E62"/>
    <mergeCell ref="B63:B65"/>
    <mergeCell ref="C63:C65"/>
    <mergeCell ref="D65:E65"/>
    <mergeCell ref="B50:B52"/>
    <mergeCell ref="C50:C52"/>
    <mergeCell ref="D52:E52"/>
    <mergeCell ref="B53:B57"/>
    <mergeCell ref="C53:C57"/>
    <mergeCell ref="D57:E57"/>
    <mergeCell ref="B45:B47"/>
    <mergeCell ref="C45:C47"/>
    <mergeCell ref="D47:E47"/>
    <mergeCell ref="B48:B49"/>
    <mergeCell ref="C48:C49"/>
    <mergeCell ref="D49:E49"/>
    <mergeCell ref="B37:B41"/>
    <mergeCell ref="C37:C41"/>
    <mergeCell ref="D41:E41"/>
    <mergeCell ref="B42:B44"/>
    <mergeCell ref="C42:C44"/>
    <mergeCell ref="D44:E44"/>
    <mergeCell ref="B27:B31"/>
    <mergeCell ref="C27:C31"/>
    <mergeCell ref="D31:E31"/>
    <mergeCell ref="B32:B36"/>
    <mergeCell ref="C32:C36"/>
    <mergeCell ref="D36:E36"/>
    <mergeCell ref="B18:B22"/>
    <mergeCell ref="C18:C22"/>
    <mergeCell ref="D22:E22"/>
    <mergeCell ref="B23:B26"/>
    <mergeCell ref="C23:C26"/>
    <mergeCell ref="D26:E26"/>
    <mergeCell ref="B9:B11"/>
    <mergeCell ref="C9:C11"/>
    <mergeCell ref="D11:E11"/>
    <mergeCell ref="B12:B17"/>
    <mergeCell ref="C12:C17"/>
    <mergeCell ref="D17:E17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9" type="noConversion"/>
  <pageMargins left="0.70866141732283472" right="0.70866141732283472" top="0.74803149606299213" bottom="0.74803149606299213" header="0.31496062992125984" footer="0.31496062992125984"/>
  <pageSetup paperSize="12" scale="31" orientation="portrait" cellComments="asDisplayed" r:id="rId1"/>
  <ignoredErrors>
    <ignoredError sqref="I11:R11 T17:U26 T31:U37 I46:Q52 I44:O45 I57:S58 I62:R62 I65:R65 I70:S75 R44:R52" formula="1"/>
    <ignoredError sqref="P44:Q45" formula="1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9F1E-D84A-45B7-AD0B-927BF0948DFE}">
  <sheetPr>
    <pageSetUpPr fitToPage="1"/>
  </sheetPr>
  <dimension ref="B2:AG103"/>
  <sheetViews>
    <sheetView showGridLines="0" zoomScale="85" zoomScaleNormal="85" zoomScaleSheetLayoutView="85" workbookViewId="0">
      <selection activeCell="B76" sqref="B76:B80"/>
    </sheetView>
  </sheetViews>
  <sheetFormatPr defaultRowHeight="17.399999999999999"/>
  <cols>
    <col min="1" max="1" width="3" customWidth="1"/>
    <col min="2" max="2" width="24.8984375" customWidth="1"/>
    <col min="3" max="3" width="5.59765625" customWidth="1"/>
    <col min="4" max="4" width="36.19921875" customWidth="1"/>
    <col min="5" max="5" width="17.09765625" style="485" bestFit="1" customWidth="1"/>
    <col min="6" max="6" width="9.09765625" style="1" customWidth="1"/>
    <col min="7" max="7" width="10.69921875" customWidth="1"/>
    <col min="8" max="19" width="7.69921875" bestFit="1" customWidth="1"/>
    <col min="20" max="20" width="9.3984375" bestFit="1" customWidth="1"/>
    <col min="21" max="21" width="7.09765625" customWidth="1"/>
  </cols>
  <sheetData>
    <row r="2" spans="2:33" ht="39.75" customHeight="1" thickBot="1">
      <c r="B2" s="988" t="s">
        <v>151</v>
      </c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8"/>
      <c r="Q2" s="988"/>
      <c r="R2" s="988"/>
      <c r="S2" s="988"/>
      <c r="T2" s="988"/>
      <c r="U2" s="988"/>
    </row>
    <row r="3" spans="2:33" ht="27" customHeight="1">
      <c r="B3" s="459"/>
      <c r="C3" s="459"/>
      <c r="D3" s="483"/>
      <c r="E3" s="484"/>
      <c r="F3" s="459"/>
      <c r="G3" s="459"/>
      <c r="H3" s="459"/>
      <c r="I3" s="459"/>
      <c r="J3" s="459"/>
      <c r="K3" s="459"/>
      <c r="L3" s="459"/>
      <c r="M3" s="459"/>
      <c r="N3" s="1040" t="s">
        <v>129</v>
      </c>
      <c r="O3" s="1041"/>
      <c r="P3" s="1041"/>
      <c r="Q3" s="1041" t="s">
        <v>127</v>
      </c>
      <c r="R3" s="1041"/>
      <c r="S3" s="1041"/>
      <c r="T3" s="1041" t="s">
        <v>130</v>
      </c>
      <c r="U3" s="1042"/>
    </row>
    <row r="4" spans="2:33" ht="27" customHeight="1" thickBot="1">
      <c r="B4" s="459"/>
      <c r="C4" s="459"/>
      <c r="D4" s="483"/>
      <c r="E4" s="484"/>
      <c r="F4" s="459"/>
      <c r="G4" s="459"/>
      <c r="H4" s="459"/>
      <c r="I4" s="459"/>
      <c r="J4" s="459"/>
      <c r="K4" s="459"/>
      <c r="L4" s="459"/>
      <c r="M4" s="459"/>
      <c r="N4" s="1043" t="s">
        <v>507</v>
      </c>
      <c r="O4" s="1044"/>
      <c r="P4" s="1044"/>
      <c r="Q4" s="1045" t="s">
        <v>592</v>
      </c>
      <c r="R4" s="1045"/>
      <c r="S4" s="1045"/>
      <c r="T4" s="1045">
        <v>2027</v>
      </c>
      <c r="U4" s="1046"/>
    </row>
    <row r="5" spans="2:33" ht="24" customHeight="1" thickBot="1">
      <c r="B5" s="1030"/>
      <c r="C5" s="1030"/>
    </row>
    <row r="6" spans="2:33" ht="20.25" customHeight="1">
      <c r="B6" s="1031" t="s">
        <v>13</v>
      </c>
      <c r="C6" s="1034" t="s">
        <v>140</v>
      </c>
      <c r="D6" s="1037" t="s">
        <v>14</v>
      </c>
      <c r="E6" s="1101" t="s">
        <v>15</v>
      </c>
      <c r="F6" s="1037" t="s">
        <v>141</v>
      </c>
      <c r="G6" s="1037" t="s">
        <v>142</v>
      </c>
      <c r="H6" s="956" t="s">
        <v>58</v>
      </c>
      <c r="I6" s="956"/>
      <c r="J6" s="956"/>
      <c r="K6" s="956"/>
      <c r="L6" s="956" t="s">
        <v>59</v>
      </c>
      <c r="M6" s="956"/>
      <c r="N6" s="956"/>
      <c r="O6" s="956"/>
      <c r="P6" s="956" t="s">
        <v>60</v>
      </c>
      <c r="Q6" s="956"/>
      <c r="R6" s="956"/>
      <c r="S6" s="956"/>
      <c r="T6" s="964" t="s">
        <v>139</v>
      </c>
      <c r="U6" s="957" t="s">
        <v>126</v>
      </c>
      <c r="W6" s="960" t="s">
        <v>131</v>
      </c>
      <c r="X6" s="961"/>
      <c r="Y6" s="961"/>
      <c r="Z6" s="961"/>
      <c r="AA6" s="961"/>
      <c r="AB6" s="961"/>
      <c r="AC6" s="961"/>
      <c r="AD6" s="961"/>
      <c r="AE6" s="961"/>
      <c r="AF6" s="962"/>
      <c r="AG6" s="357"/>
    </row>
    <row r="7" spans="2:33" ht="16.5" customHeight="1">
      <c r="B7" s="1032"/>
      <c r="C7" s="1035"/>
      <c r="D7" s="1038"/>
      <c r="E7" s="1102"/>
      <c r="F7" s="1038"/>
      <c r="G7" s="1038"/>
      <c r="H7" s="963" t="s">
        <v>124</v>
      </c>
      <c r="I7" s="963"/>
      <c r="J7" s="963" t="s">
        <v>62</v>
      </c>
      <c r="K7" s="963"/>
      <c r="L7" s="963" t="s">
        <v>124</v>
      </c>
      <c r="M7" s="963"/>
      <c r="N7" s="963" t="s">
        <v>62</v>
      </c>
      <c r="O7" s="963"/>
      <c r="P7" s="963" t="s">
        <v>124</v>
      </c>
      <c r="Q7" s="963"/>
      <c r="R7" s="963" t="s">
        <v>62</v>
      </c>
      <c r="S7" s="963"/>
      <c r="T7" s="965"/>
      <c r="U7" s="958"/>
      <c r="W7" s="950" t="s">
        <v>132</v>
      </c>
      <c r="X7" s="1047"/>
      <c r="Y7" s="1047"/>
      <c r="Z7" s="1047"/>
      <c r="AA7" s="1047"/>
      <c r="AB7" s="1047"/>
      <c r="AC7" s="1047"/>
      <c r="AD7" s="1047"/>
      <c r="AE7" s="1047"/>
      <c r="AF7" s="952"/>
      <c r="AG7" s="357"/>
    </row>
    <row r="8" spans="2:33" ht="17.25" customHeight="1" thickBot="1">
      <c r="B8" s="1033"/>
      <c r="C8" s="1036"/>
      <c r="D8" s="1039"/>
      <c r="E8" s="1103"/>
      <c r="F8" s="1039"/>
      <c r="G8" s="1039"/>
      <c r="H8" s="358" t="s">
        <v>138</v>
      </c>
      <c r="I8" s="358" t="s">
        <v>125</v>
      </c>
      <c r="J8" s="358" t="s">
        <v>138</v>
      </c>
      <c r="K8" s="358" t="s">
        <v>125</v>
      </c>
      <c r="L8" s="358" t="s">
        <v>138</v>
      </c>
      <c r="M8" s="358" t="s">
        <v>125</v>
      </c>
      <c r="N8" s="358" t="s">
        <v>138</v>
      </c>
      <c r="O8" s="358" t="s">
        <v>125</v>
      </c>
      <c r="P8" s="358" t="s">
        <v>138</v>
      </c>
      <c r="Q8" s="358" t="s">
        <v>125</v>
      </c>
      <c r="R8" s="358" t="s">
        <v>138</v>
      </c>
      <c r="S8" s="358" t="s">
        <v>125</v>
      </c>
      <c r="T8" s="966"/>
      <c r="U8" s="959"/>
      <c r="W8" s="14"/>
      <c r="X8" s="359"/>
      <c r="Y8" s="359"/>
      <c r="Z8" s="359"/>
      <c r="AA8" s="359"/>
      <c r="AB8" s="359"/>
      <c r="AC8" s="359"/>
      <c r="AD8" s="359"/>
      <c r="AE8" s="359"/>
      <c r="AF8" s="16"/>
      <c r="AG8" s="357"/>
    </row>
    <row r="9" spans="2:33" ht="17.25" customHeight="1">
      <c r="B9" s="1104" t="s">
        <v>998</v>
      </c>
      <c r="C9" s="1107">
        <f>T13</f>
        <v>7</v>
      </c>
      <c r="D9" s="486" t="s">
        <v>899</v>
      </c>
      <c r="E9" s="230" t="s">
        <v>900</v>
      </c>
      <c r="F9" s="538">
        <v>30</v>
      </c>
      <c r="G9" s="487">
        <v>3</v>
      </c>
      <c r="H9" s="488"/>
      <c r="I9" s="488"/>
      <c r="J9" s="488"/>
      <c r="K9" s="488"/>
      <c r="L9" s="591">
        <v>2</v>
      </c>
      <c r="M9" s="591">
        <v>32</v>
      </c>
      <c r="N9" s="489"/>
      <c r="O9" s="489"/>
      <c r="P9" s="488"/>
      <c r="Q9" s="488"/>
      <c r="R9" s="488"/>
      <c r="S9" s="488"/>
      <c r="T9" s="603">
        <v>2</v>
      </c>
      <c r="U9" s="604">
        <f>T9*16</f>
        <v>32</v>
      </c>
      <c r="W9" s="14"/>
      <c r="X9" s="359"/>
      <c r="Y9" s="359"/>
      <c r="Z9" s="359"/>
      <c r="AA9" s="359"/>
      <c r="AB9" s="359"/>
      <c r="AC9" s="359"/>
      <c r="AD9" s="359"/>
      <c r="AE9" s="359"/>
      <c r="AF9" s="16"/>
      <c r="AG9" s="357"/>
    </row>
    <row r="10" spans="2:33" ht="17.25" customHeight="1">
      <c r="B10" s="1105"/>
      <c r="C10" s="1108"/>
      <c r="D10" s="490" t="s">
        <v>901</v>
      </c>
      <c r="E10" s="490" t="s">
        <v>902</v>
      </c>
      <c r="F10" s="513">
        <v>30</v>
      </c>
      <c r="G10" s="491">
        <v>3</v>
      </c>
      <c r="H10" s="492"/>
      <c r="I10" s="492"/>
      <c r="J10" s="492"/>
      <c r="K10" s="492"/>
      <c r="L10" s="592">
        <v>2</v>
      </c>
      <c r="M10" s="592">
        <v>32</v>
      </c>
      <c r="N10" s="493"/>
      <c r="O10" s="493"/>
      <c r="P10" s="492"/>
      <c r="Q10" s="492"/>
      <c r="R10" s="492"/>
      <c r="S10" s="492"/>
      <c r="T10" s="605">
        <v>2</v>
      </c>
      <c r="U10" s="606">
        <f t="shared" ref="U10:U12" si="0">T10*16</f>
        <v>32</v>
      </c>
      <c r="W10" s="14"/>
      <c r="X10" s="359"/>
      <c r="Y10" s="359"/>
      <c r="Z10" s="359"/>
      <c r="AA10" s="359"/>
      <c r="AB10" s="359"/>
      <c r="AC10" s="359"/>
      <c r="AD10" s="359"/>
      <c r="AE10" s="359"/>
      <c r="AF10" s="16"/>
      <c r="AG10" s="357"/>
    </row>
    <row r="11" spans="2:33" ht="17.25" customHeight="1">
      <c r="B11" s="1105"/>
      <c r="C11" s="1108"/>
      <c r="D11" s="494" t="s">
        <v>903</v>
      </c>
      <c r="E11" s="495" t="s">
        <v>904</v>
      </c>
      <c r="F11" s="513">
        <v>30</v>
      </c>
      <c r="G11" s="491">
        <v>3</v>
      </c>
      <c r="H11" s="492"/>
      <c r="I11" s="492"/>
      <c r="J11" s="492"/>
      <c r="K11" s="492"/>
      <c r="L11" s="493"/>
      <c r="M11" s="493"/>
      <c r="N11" s="592">
        <v>1</v>
      </c>
      <c r="O11" s="592">
        <v>16</v>
      </c>
      <c r="P11" s="492"/>
      <c r="Q11" s="492"/>
      <c r="R11" s="492"/>
      <c r="S11" s="492"/>
      <c r="T11" s="605">
        <v>1</v>
      </c>
      <c r="U11" s="607">
        <f t="shared" si="0"/>
        <v>16</v>
      </c>
      <c r="W11" s="14"/>
      <c r="X11" s="359"/>
      <c r="Y11" s="359"/>
      <c r="Z11" s="359"/>
      <c r="AA11" s="359"/>
      <c r="AB11" s="359"/>
      <c r="AC11" s="359"/>
      <c r="AD11" s="359"/>
      <c r="AE11" s="359"/>
      <c r="AF11" s="16"/>
      <c r="AG11" s="357"/>
    </row>
    <row r="12" spans="2:33" ht="17.25" customHeight="1">
      <c r="B12" s="1105"/>
      <c r="C12" s="1108"/>
      <c r="D12" s="496" t="s">
        <v>905</v>
      </c>
      <c r="E12" s="497" t="s">
        <v>906</v>
      </c>
      <c r="F12" s="513">
        <v>30</v>
      </c>
      <c r="G12" s="498">
        <v>3</v>
      </c>
      <c r="H12" s="499"/>
      <c r="I12" s="499"/>
      <c r="J12" s="499"/>
      <c r="K12" s="499"/>
      <c r="L12" s="500"/>
      <c r="M12" s="500"/>
      <c r="N12" s="593">
        <v>2</v>
      </c>
      <c r="O12" s="593">
        <v>32</v>
      </c>
      <c r="P12" s="499"/>
      <c r="Q12" s="499"/>
      <c r="R12" s="499"/>
      <c r="S12" s="499"/>
      <c r="T12" s="608">
        <v>2</v>
      </c>
      <c r="U12" s="609">
        <f t="shared" si="0"/>
        <v>32</v>
      </c>
      <c r="W12" s="14"/>
      <c r="X12" s="359"/>
      <c r="Y12" s="359"/>
      <c r="Z12" s="359"/>
      <c r="AA12" s="359"/>
      <c r="AB12" s="359"/>
      <c r="AC12" s="359"/>
      <c r="AD12" s="359"/>
      <c r="AE12" s="359"/>
      <c r="AF12" s="16"/>
      <c r="AG12" s="357"/>
    </row>
    <row r="13" spans="2:33" ht="17.25" customHeight="1" thickBot="1">
      <c r="B13" s="1106"/>
      <c r="C13" s="1109"/>
      <c r="D13" s="937" t="s">
        <v>16</v>
      </c>
      <c r="E13" s="937"/>
      <c r="F13" s="462"/>
      <c r="G13" s="501"/>
      <c r="H13" s="502"/>
      <c r="I13" s="502"/>
      <c r="J13" s="315"/>
      <c r="K13" s="315"/>
      <c r="L13" s="315">
        <f>SUM(L5:L12)</f>
        <v>4</v>
      </c>
      <c r="M13" s="315">
        <f>SUM(M5:M12)</f>
        <v>64</v>
      </c>
      <c r="N13" s="315">
        <f>SUM(N5:N12)</f>
        <v>3</v>
      </c>
      <c r="O13" s="315">
        <f>SUM(O5:O12)</f>
        <v>48</v>
      </c>
      <c r="P13" s="503">
        <f t="shared" ref="P13:S13" si="1">SUM(P11:P12)</f>
        <v>0</v>
      </c>
      <c r="Q13" s="503">
        <f t="shared" si="1"/>
        <v>0</v>
      </c>
      <c r="R13" s="503">
        <f t="shared" si="1"/>
        <v>0</v>
      </c>
      <c r="S13" s="503">
        <f t="shared" si="1"/>
        <v>0</v>
      </c>
      <c r="T13" s="315">
        <f>SUM(T9:T12)</f>
        <v>7</v>
      </c>
      <c r="U13" s="504">
        <f>SUM(U9:U12)</f>
        <v>112</v>
      </c>
      <c r="W13" s="14"/>
      <c r="X13" s="359"/>
      <c r="Y13" s="359"/>
      <c r="Z13" s="359"/>
      <c r="AA13" s="359"/>
      <c r="AB13" s="359"/>
      <c r="AC13" s="359"/>
      <c r="AD13" s="359"/>
      <c r="AE13" s="359"/>
      <c r="AF13" s="16"/>
      <c r="AG13" s="357"/>
    </row>
    <row r="14" spans="2:33" ht="17.25" customHeight="1">
      <c r="B14" s="1110" t="s">
        <v>997</v>
      </c>
      <c r="C14" s="947">
        <f>T17</f>
        <v>8</v>
      </c>
      <c r="D14" s="505" t="s">
        <v>907</v>
      </c>
      <c r="E14" s="505" t="s">
        <v>908</v>
      </c>
      <c r="F14" s="506">
        <v>40</v>
      </c>
      <c r="G14" s="505">
        <v>4</v>
      </c>
      <c r="H14" s="507"/>
      <c r="I14" s="507"/>
      <c r="J14" s="508"/>
      <c r="K14" s="508"/>
      <c r="L14" s="594">
        <v>4</v>
      </c>
      <c r="M14" s="594">
        <v>64</v>
      </c>
      <c r="N14" s="301"/>
      <c r="O14" s="301"/>
      <c r="P14" s="509"/>
      <c r="Q14" s="509"/>
      <c r="R14" s="509"/>
      <c r="S14" s="509"/>
      <c r="T14" s="301">
        <v>4</v>
      </c>
      <c r="U14" s="510">
        <f>T14*16</f>
        <v>64</v>
      </c>
      <c r="W14" s="14"/>
      <c r="X14" s="359"/>
      <c r="Y14" s="359"/>
      <c r="Z14" s="359"/>
      <c r="AA14" s="359"/>
      <c r="AB14" s="359"/>
      <c r="AC14" s="359"/>
      <c r="AD14" s="359"/>
      <c r="AE14" s="359"/>
      <c r="AF14" s="16"/>
      <c r="AG14" s="357"/>
    </row>
    <row r="15" spans="2:33" ht="16.5" customHeight="1">
      <c r="B15" s="1111"/>
      <c r="C15" s="1113"/>
      <c r="D15" s="511" t="s">
        <v>909</v>
      </c>
      <c r="E15" s="512" t="s">
        <v>910</v>
      </c>
      <c r="F15" s="513">
        <v>20</v>
      </c>
      <c r="G15" s="511">
        <v>3</v>
      </c>
      <c r="H15" s="514"/>
      <c r="I15" s="514"/>
      <c r="J15" s="306"/>
      <c r="K15" s="306"/>
      <c r="L15" s="515"/>
      <c r="M15" s="515"/>
      <c r="N15" s="306">
        <v>2</v>
      </c>
      <c r="O15" s="306">
        <v>32</v>
      </c>
      <c r="P15" s="516"/>
      <c r="Q15" s="516"/>
      <c r="R15" s="516"/>
      <c r="S15" s="516"/>
      <c r="T15" s="517">
        <v>2</v>
      </c>
      <c r="U15" s="610">
        <f t="shared" ref="U15:U16" si="2">T15*16</f>
        <v>32</v>
      </c>
      <c r="W15" s="363"/>
      <c r="X15" s="357"/>
      <c r="Y15" s="357"/>
      <c r="Z15" s="357"/>
      <c r="AA15" s="357"/>
      <c r="AB15" s="357"/>
      <c r="AC15" s="357"/>
      <c r="AD15" s="357"/>
      <c r="AE15" s="357"/>
      <c r="AF15" s="364"/>
      <c r="AG15" s="357"/>
    </row>
    <row r="16" spans="2:33" ht="16.5" customHeight="1">
      <c r="B16" s="1111"/>
      <c r="C16" s="1113"/>
      <c r="D16" s="243" t="s">
        <v>911</v>
      </c>
      <c r="E16" s="519" t="s">
        <v>912</v>
      </c>
      <c r="F16" s="520">
        <v>40</v>
      </c>
      <c r="G16" s="243">
        <v>4</v>
      </c>
      <c r="H16" s="258"/>
      <c r="I16" s="258"/>
      <c r="J16" s="307"/>
      <c r="K16" s="307"/>
      <c r="L16" s="521"/>
      <c r="M16" s="521"/>
      <c r="N16" s="307">
        <v>2</v>
      </c>
      <c r="O16" s="307">
        <v>32</v>
      </c>
      <c r="P16" s="522"/>
      <c r="Q16" s="522"/>
      <c r="R16" s="522"/>
      <c r="S16" s="522"/>
      <c r="T16" s="523">
        <v>2</v>
      </c>
      <c r="U16" s="611">
        <f t="shared" si="2"/>
        <v>32</v>
      </c>
      <c r="W16" s="363"/>
      <c r="X16" s="357"/>
      <c r="Y16" s="357"/>
      <c r="Z16" s="357"/>
      <c r="AA16" s="357"/>
      <c r="AB16" s="357"/>
      <c r="AC16" s="357"/>
      <c r="AD16" s="357"/>
      <c r="AE16" s="357"/>
      <c r="AF16" s="364"/>
      <c r="AG16" s="357"/>
    </row>
    <row r="17" spans="2:22" ht="18" thickBot="1">
      <c r="B17" s="1112"/>
      <c r="C17" s="1114"/>
      <c r="D17" s="937" t="s">
        <v>16</v>
      </c>
      <c r="E17" s="937"/>
      <c r="F17" s="630"/>
      <c r="G17" s="501"/>
      <c r="H17" s="502"/>
      <c r="I17" s="502"/>
      <c r="J17" s="315"/>
      <c r="K17" s="315"/>
      <c r="L17" s="315">
        <f>SUM(L14:L16)</f>
        <v>4</v>
      </c>
      <c r="M17" s="315">
        <f t="shared" ref="M17:U17" si="3">SUM(M14:M16)</f>
        <v>64</v>
      </c>
      <c r="N17" s="315">
        <f t="shared" si="3"/>
        <v>4</v>
      </c>
      <c r="O17" s="315">
        <f t="shared" si="3"/>
        <v>64</v>
      </c>
      <c r="P17" s="315">
        <f t="shared" si="3"/>
        <v>0</v>
      </c>
      <c r="Q17" s="315">
        <f t="shared" si="3"/>
        <v>0</v>
      </c>
      <c r="R17" s="315">
        <f t="shared" si="3"/>
        <v>0</v>
      </c>
      <c r="S17" s="315">
        <f t="shared" si="3"/>
        <v>0</v>
      </c>
      <c r="T17" s="315">
        <f t="shared" si="3"/>
        <v>8</v>
      </c>
      <c r="U17" s="504">
        <f t="shared" si="3"/>
        <v>128</v>
      </c>
      <c r="V17" s="612"/>
    </row>
    <row r="18" spans="2:22">
      <c r="B18" s="944" t="s">
        <v>638</v>
      </c>
      <c r="C18" s="1002">
        <f>T23</f>
        <v>10</v>
      </c>
      <c r="D18" s="277" t="s">
        <v>639</v>
      </c>
      <c r="E18" s="277" t="s">
        <v>640</v>
      </c>
      <c r="F18" s="277">
        <v>40</v>
      </c>
      <c r="G18" s="278">
        <v>2</v>
      </c>
      <c r="H18" s="279"/>
      <c r="I18" s="280"/>
      <c r="J18" s="278">
        <v>2</v>
      </c>
      <c r="K18" s="278">
        <v>32</v>
      </c>
      <c r="L18" s="280"/>
      <c r="M18" s="280"/>
      <c r="N18" s="280"/>
      <c r="O18" s="280"/>
      <c r="P18" s="280"/>
      <c r="Q18" s="280"/>
      <c r="R18" s="280"/>
      <c r="S18" s="280"/>
      <c r="T18" s="525">
        <f>SUM(H18,J18,L18,N18,P18,R18)</f>
        <v>2</v>
      </c>
      <c r="U18" s="526">
        <f>T18*16</f>
        <v>32</v>
      </c>
    </row>
    <row r="19" spans="2:22">
      <c r="B19" s="945"/>
      <c r="C19" s="1003"/>
      <c r="D19" s="223" t="s">
        <v>641</v>
      </c>
      <c r="E19" s="223" t="s">
        <v>642</v>
      </c>
      <c r="F19" s="223">
        <v>40</v>
      </c>
      <c r="G19" s="236">
        <v>3</v>
      </c>
      <c r="H19" s="283"/>
      <c r="I19" s="284"/>
      <c r="J19" s="236">
        <v>2</v>
      </c>
      <c r="K19" s="236">
        <v>32</v>
      </c>
      <c r="L19" s="284"/>
      <c r="M19" s="284"/>
      <c r="N19" s="284"/>
      <c r="O19" s="284"/>
      <c r="P19" s="284"/>
      <c r="Q19" s="284"/>
      <c r="R19" s="284"/>
      <c r="S19" s="284"/>
      <c r="T19" s="527">
        <f t="shared" ref="T19:T22" si="4">SUM(H19,J19,L19,N19,P19,R19)</f>
        <v>2</v>
      </c>
      <c r="U19" s="528">
        <f t="shared" ref="U19:U22" si="5">T19*16</f>
        <v>32</v>
      </c>
    </row>
    <row r="20" spans="2:22">
      <c r="B20" s="945"/>
      <c r="C20" s="1003"/>
      <c r="D20" s="277" t="s">
        <v>643</v>
      </c>
      <c r="E20" s="277" t="s">
        <v>644</v>
      </c>
      <c r="F20" s="277">
        <v>40</v>
      </c>
      <c r="G20" s="278">
        <v>3</v>
      </c>
      <c r="H20" s="283"/>
      <c r="I20" s="529"/>
      <c r="J20" s="236"/>
      <c r="K20" s="236"/>
      <c r="L20" s="529">
        <v>2</v>
      </c>
      <c r="M20" s="529">
        <f>L20*16</f>
        <v>32</v>
      </c>
      <c r="N20" s="284"/>
      <c r="O20" s="284"/>
      <c r="P20" s="284"/>
      <c r="Q20" s="284"/>
      <c r="R20" s="284"/>
      <c r="S20" s="284"/>
      <c r="T20" s="527">
        <f t="shared" si="4"/>
        <v>2</v>
      </c>
      <c r="U20" s="528">
        <f t="shared" si="5"/>
        <v>32</v>
      </c>
    </row>
    <row r="21" spans="2:22">
      <c r="B21" s="945"/>
      <c r="C21" s="1003"/>
      <c r="D21" s="223" t="s">
        <v>645</v>
      </c>
      <c r="E21" s="223" t="s">
        <v>646</v>
      </c>
      <c r="F21" s="223">
        <v>40</v>
      </c>
      <c r="G21" s="236">
        <v>3</v>
      </c>
      <c r="H21" s="290"/>
      <c r="I21" s="292"/>
      <c r="J21" s="292"/>
      <c r="K21" s="292"/>
      <c r="L21" s="529">
        <v>2</v>
      </c>
      <c r="M21" s="529">
        <f>L21*16</f>
        <v>32</v>
      </c>
      <c r="N21" s="291"/>
      <c r="O21" s="291"/>
      <c r="P21" s="291"/>
      <c r="Q21" s="291"/>
      <c r="R21" s="291"/>
      <c r="S21" s="291"/>
      <c r="T21" s="530">
        <f t="shared" si="4"/>
        <v>2</v>
      </c>
      <c r="U21" s="531">
        <f t="shared" si="5"/>
        <v>32</v>
      </c>
    </row>
    <row r="22" spans="2:22">
      <c r="B22" s="945"/>
      <c r="C22" s="1003"/>
      <c r="D22" s="223" t="s">
        <v>647</v>
      </c>
      <c r="E22" s="223" t="s">
        <v>648</v>
      </c>
      <c r="F22" s="223">
        <v>40</v>
      </c>
      <c r="G22" s="236">
        <v>3</v>
      </c>
      <c r="H22" s="290"/>
      <c r="I22" s="292"/>
      <c r="J22" s="292"/>
      <c r="K22" s="292"/>
      <c r="L22" s="529">
        <v>2</v>
      </c>
      <c r="M22" s="529">
        <f>L22*16</f>
        <v>32</v>
      </c>
      <c r="N22" s="291"/>
      <c r="O22" s="291"/>
      <c r="P22" s="291"/>
      <c r="Q22" s="291"/>
      <c r="R22" s="291"/>
      <c r="S22" s="291"/>
      <c r="T22" s="530">
        <f t="shared" si="4"/>
        <v>2</v>
      </c>
      <c r="U22" s="531">
        <f t="shared" si="5"/>
        <v>32</v>
      </c>
    </row>
    <row r="23" spans="2:22" ht="18" thickBot="1">
      <c r="B23" s="946"/>
      <c r="C23" s="1004"/>
      <c r="D23" s="1026" t="s">
        <v>16</v>
      </c>
      <c r="E23" s="1027"/>
      <c r="F23" s="463"/>
      <c r="G23" s="463"/>
      <c r="H23" s="295"/>
      <c r="I23" s="295"/>
      <c r="J23" s="295">
        <f>SUM(J18:J20)</f>
        <v>4</v>
      </c>
      <c r="K23" s="295">
        <f>SUM(K18:K20)</f>
        <v>64</v>
      </c>
      <c r="L23" s="295">
        <f>SUM(L20:L22)</f>
        <v>6</v>
      </c>
      <c r="M23" s="295">
        <v>96</v>
      </c>
      <c r="N23" s="295"/>
      <c r="O23" s="295"/>
      <c r="P23" s="295">
        <f t="shared" ref="P23:S23" si="6">SUM(P18:P20)</f>
        <v>0</v>
      </c>
      <c r="Q23" s="295">
        <f t="shared" si="6"/>
        <v>0</v>
      </c>
      <c r="R23" s="295">
        <f t="shared" si="6"/>
        <v>0</v>
      </c>
      <c r="S23" s="295">
        <f t="shared" si="6"/>
        <v>0</v>
      </c>
      <c r="T23" s="295">
        <f>SUM(T18:T22)</f>
        <v>10</v>
      </c>
      <c r="U23" s="532">
        <f>SUM(U18:U22)</f>
        <v>160</v>
      </c>
    </row>
    <row r="24" spans="2:22" ht="16.5" customHeight="1">
      <c r="B24" s="944" t="s">
        <v>649</v>
      </c>
      <c r="C24" s="947">
        <f>T28</f>
        <v>10</v>
      </c>
      <c r="D24" s="298" t="s">
        <v>650</v>
      </c>
      <c r="E24" s="298" t="s">
        <v>651</v>
      </c>
      <c r="F24" s="298" t="s">
        <v>652</v>
      </c>
      <c r="G24" s="230">
        <v>2</v>
      </c>
      <c r="H24" s="299"/>
      <c r="I24" s="300"/>
      <c r="J24" s="300">
        <v>2</v>
      </c>
      <c r="K24" s="300">
        <f>J24*16</f>
        <v>32</v>
      </c>
      <c r="L24" s="301"/>
      <c r="M24" s="301"/>
      <c r="N24" s="301"/>
      <c r="O24" s="301">
        <f>N24*16</f>
        <v>0</v>
      </c>
      <c r="P24" s="301"/>
      <c r="Q24" s="301"/>
      <c r="R24" s="301"/>
      <c r="S24" s="301"/>
      <c r="T24" s="533">
        <f t="shared" ref="T24:U27" si="7">SUM(H24,J24,L24,N24,P24,R24)</f>
        <v>2</v>
      </c>
      <c r="U24" s="534">
        <f t="shared" si="7"/>
        <v>32</v>
      </c>
    </row>
    <row r="25" spans="2:22">
      <c r="B25" s="945"/>
      <c r="C25" s="948"/>
      <c r="D25" s="304" t="s">
        <v>653</v>
      </c>
      <c r="E25" s="304" t="s">
        <v>654</v>
      </c>
      <c r="F25" s="304">
        <v>40</v>
      </c>
      <c r="G25" s="236">
        <v>2</v>
      </c>
      <c r="H25" s="305"/>
      <c r="I25" s="306"/>
      <c r="J25" s="307">
        <v>3</v>
      </c>
      <c r="K25" s="307">
        <f>J25*16</f>
        <v>48</v>
      </c>
      <c r="L25" s="306"/>
      <c r="M25" s="306"/>
      <c r="N25" s="306"/>
      <c r="O25" s="306"/>
      <c r="P25" s="306"/>
      <c r="Q25" s="306"/>
      <c r="R25" s="306"/>
      <c r="S25" s="306"/>
      <c r="T25" s="525">
        <f t="shared" si="7"/>
        <v>3</v>
      </c>
      <c r="U25" s="528">
        <f t="shared" si="7"/>
        <v>48</v>
      </c>
    </row>
    <row r="26" spans="2:22">
      <c r="B26" s="945"/>
      <c r="C26" s="948"/>
      <c r="D26" s="309" t="s">
        <v>655</v>
      </c>
      <c r="E26" s="309" t="s">
        <v>656</v>
      </c>
      <c r="F26" s="309" t="s">
        <v>652</v>
      </c>
      <c r="G26" s="278">
        <v>3</v>
      </c>
      <c r="H26" s="305"/>
      <c r="I26" s="317"/>
      <c r="J26" s="317"/>
      <c r="K26" s="317"/>
      <c r="L26" s="317">
        <v>2</v>
      </c>
      <c r="M26" s="317">
        <f>L26*16</f>
        <v>32</v>
      </c>
      <c r="N26" s="306"/>
      <c r="O26" s="306"/>
      <c r="P26" s="306"/>
      <c r="Q26" s="306"/>
      <c r="R26" s="306"/>
      <c r="S26" s="306"/>
      <c r="T26" s="525">
        <v>2</v>
      </c>
      <c r="U26" s="526">
        <f t="shared" si="7"/>
        <v>32</v>
      </c>
    </row>
    <row r="27" spans="2:22">
      <c r="B27" s="945"/>
      <c r="C27" s="948"/>
      <c r="D27" s="304" t="s">
        <v>657</v>
      </c>
      <c r="E27" s="304" t="s">
        <v>658</v>
      </c>
      <c r="F27" s="304">
        <v>50</v>
      </c>
      <c r="G27" s="236">
        <v>4</v>
      </c>
      <c r="H27" s="312"/>
      <c r="I27" s="314"/>
      <c r="J27" s="314"/>
      <c r="K27" s="314"/>
      <c r="L27" s="314">
        <v>3</v>
      </c>
      <c r="M27" s="314">
        <f>L27*16</f>
        <v>48</v>
      </c>
      <c r="N27" s="314"/>
      <c r="O27" s="314"/>
      <c r="P27" s="306"/>
      <c r="Q27" s="306"/>
      <c r="R27" s="306"/>
      <c r="S27" s="306"/>
      <c r="T27" s="525">
        <f t="shared" ref="T27" si="8">SUM(H27,J27,L27,N27,P27,R27)</f>
        <v>3</v>
      </c>
      <c r="U27" s="526">
        <f t="shared" si="7"/>
        <v>48</v>
      </c>
    </row>
    <row r="28" spans="2:22" ht="18" thickBot="1">
      <c r="B28" s="946"/>
      <c r="C28" s="949"/>
      <c r="D28" s="1091" t="s">
        <v>16</v>
      </c>
      <c r="E28" s="1092"/>
      <c r="F28" s="630"/>
      <c r="G28" s="630"/>
      <c r="H28" s="315"/>
      <c r="I28" s="315"/>
      <c r="J28" s="315">
        <f t="shared" ref="J28:U28" si="9">SUM(J24:J27)</f>
        <v>5</v>
      </c>
      <c r="K28" s="315">
        <f t="shared" si="9"/>
        <v>80</v>
      </c>
      <c r="L28" s="315">
        <f t="shared" si="9"/>
        <v>5</v>
      </c>
      <c r="M28" s="315">
        <f t="shared" si="9"/>
        <v>80</v>
      </c>
      <c r="N28" s="315">
        <f t="shared" si="9"/>
        <v>0</v>
      </c>
      <c r="O28" s="315">
        <f t="shared" si="9"/>
        <v>0</v>
      </c>
      <c r="P28" s="315">
        <f t="shared" si="9"/>
        <v>0</v>
      </c>
      <c r="Q28" s="315">
        <f t="shared" si="9"/>
        <v>0</v>
      </c>
      <c r="R28" s="315">
        <f t="shared" si="9"/>
        <v>0</v>
      </c>
      <c r="S28" s="315">
        <f t="shared" si="9"/>
        <v>0</v>
      </c>
      <c r="T28" s="315">
        <f t="shared" si="9"/>
        <v>10</v>
      </c>
      <c r="U28" s="504">
        <f t="shared" si="9"/>
        <v>160</v>
      </c>
      <c r="V28" s="612"/>
    </row>
    <row r="29" spans="2:22" ht="16.5" customHeight="1">
      <c r="B29" s="944" t="s">
        <v>659</v>
      </c>
      <c r="C29" s="947">
        <f>T32</f>
        <v>8</v>
      </c>
      <c r="D29" s="278" t="s">
        <v>660</v>
      </c>
      <c r="E29" s="278" t="s">
        <v>661</v>
      </c>
      <c r="F29" s="278">
        <v>50</v>
      </c>
      <c r="G29" s="278">
        <v>2</v>
      </c>
      <c r="H29" s="278"/>
      <c r="I29" s="317"/>
      <c r="J29" s="317"/>
      <c r="K29" s="317"/>
      <c r="L29" s="317"/>
      <c r="M29" s="317"/>
      <c r="N29" s="317">
        <v>3</v>
      </c>
      <c r="O29" s="317">
        <f t="shared" ref="O29:O31" si="10">N29*16</f>
        <v>48</v>
      </c>
      <c r="P29" s="306"/>
      <c r="Q29" s="306"/>
      <c r="R29" s="306"/>
      <c r="S29" s="306"/>
      <c r="T29" s="525">
        <f t="shared" ref="T29:U31" si="11">SUM(H29,J29,L29,N29,P29,R29)</f>
        <v>3</v>
      </c>
      <c r="U29" s="526">
        <f t="shared" si="11"/>
        <v>48</v>
      </c>
    </row>
    <row r="30" spans="2:22">
      <c r="B30" s="945"/>
      <c r="C30" s="948"/>
      <c r="D30" s="236" t="s">
        <v>662</v>
      </c>
      <c r="E30" s="236" t="s">
        <v>663</v>
      </c>
      <c r="F30" s="236">
        <v>50</v>
      </c>
      <c r="G30" s="236">
        <v>4</v>
      </c>
      <c r="H30" s="278"/>
      <c r="I30" s="317"/>
      <c r="J30" s="317"/>
      <c r="K30" s="317"/>
      <c r="L30" s="317"/>
      <c r="M30" s="317"/>
      <c r="N30" s="314">
        <v>3</v>
      </c>
      <c r="O30" s="314">
        <f t="shared" si="10"/>
        <v>48</v>
      </c>
      <c r="P30" s="306"/>
      <c r="Q30" s="306"/>
      <c r="R30" s="306"/>
      <c r="S30" s="306"/>
      <c r="T30" s="525">
        <f t="shared" si="11"/>
        <v>3</v>
      </c>
      <c r="U30" s="526">
        <f t="shared" si="11"/>
        <v>48</v>
      </c>
    </row>
    <row r="31" spans="2:22">
      <c r="B31" s="945"/>
      <c r="C31" s="948"/>
      <c r="D31" s="236" t="s">
        <v>664</v>
      </c>
      <c r="E31" s="236" t="s">
        <v>665</v>
      </c>
      <c r="F31" s="236">
        <v>50</v>
      </c>
      <c r="G31" s="236">
        <v>3</v>
      </c>
      <c r="H31" s="236"/>
      <c r="I31" s="314"/>
      <c r="J31" s="314"/>
      <c r="K31" s="314"/>
      <c r="L31" s="314"/>
      <c r="M31" s="314"/>
      <c r="N31" s="314">
        <v>2</v>
      </c>
      <c r="O31" s="314">
        <f t="shared" si="10"/>
        <v>32</v>
      </c>
      <c r="P31" s="314"/>
      <c r="Q31" s="314"/>
      <c r="R31" s="307"/>
      <c r="S31" s="307"/>
      <c r="T31" s="525">
        <f t="shared" si="11"/>
        <v>2</v>
      </c>
      <c r="U31" s="526">
        <f t="shared" si="11"/>
        <v>32</v>
      </c>
    </row>
    <row r="32" spans="2:22" ht="18" thickBot="1">
      <c r="B32" s="946"/>
      <c r="C32" s="949"/>
      <c r="D32" s="1091" t="s">
        <v>16</v>
      </c>
      <c r="E32" s="1092"/>
      <c r="F32" s="462"/>
      <c r="G32" s="462"/>
      <c r="H32" s="315"/>
      <c r="I32" s="315"/>
      <c r="J32" s="315"/>
      <c r="K32" s="315"/>
      <c r="L32" s="315">
        <f t="shared" ref="L32:T32" si="12">SUM(L29:L31)</f>
        <v>0</v>
      </c>
      <c r="M32" s="315">
        <f t="shared" si="12"/>
        <v>0</v>
      </c>
      <c r="N32" s="315">
        <f t="shared" si="12"/>
        <v>8</v>
      </c>
      <c r="O32" s="315">
        <f t="shared" si="12"/>
        <v>128</v>
      </c>
      <c r="P32" s="315">
        <f t="shared" si="12"/>
        <v>0</v>
      </c>
      <c r="Q32" s="315">
        <f t="shared" si="12"/>
        <v>0</v>
      </c>
      <c r="R32" s="315">
        <f t="shared" si="12"/>
        <v>0</v>
      </c>
      <c r="S32" s="315">
        <f t="shared" si="12"/>
        <v>0</v>
      </c>
      <c r="T32" s="295">
        <f t="shared" si="12"/>
        <v>8</v>
      </c>
      <c r="U32" s="532">
        <f>SUM(U29:U31)</f>
        <v>128</v>
      </c>
    </row>
    <row r="33" spans="2:21" ht="16.5" customHeight="1">
      <c r="B33" s="944" t="s">
        <v>666</v>
      </c>
      <c r="C33" s="947">
        <f>T37</f>
        <v>13</v>
      </c>
      <c r="D33" s="278" t="s">
        <v>667</v>
      </c>
      <c r="E33" s="278" t="s">
        <v>668</v>
      </c>
      <c r="F33" s="278">
        <v>50</v>
      </c>
      <c r="G33" s="278">
        <v>4</v>
      </c>
      <c r="H33" s="319"/>
      <c r="I33" s="317"/>
      <c r="J33" s="317"/>
      <c r="K33" s="317"/>
      <c r="L33" s="317"/>
      <c r="M33" s="317"/>
      <c r="N33" s="317">
        <v>2</v>
      </c>
      <c r="O33" s="317">
        <f>N33*16</f>
        <v>32</v>
      </c>
      <c r="P33" s="317"/>
      <c r="Q33" s="317"/>
      <c r="R33" s="306"/>
      <c r="S33" s="306">
        <f>R33*16</f>
        <v>0</v>
      </c>
      <c r="T33" s="525">
        <f t="shared" ref="T33:U36" si="13">SUM(H33,J33,L33,N33,P33,R33)</f>
        <v>2</v>
      </c>
      <c r="U33" s="526">
        <f t="shared" si="13"/>
        <v>32</v>
      </c>
    </row>
    <row r="34" spans="2:21">
      <c r="B34" s="945"/>
      <c r="C34" s="948"/>
      <c r="D34" s="236" t="s">
        <v>669</v>
      </c>
      <c r="E34" s="236" t="s">
        <v>670</v>
      </c>
      <c r="F34" s="236">
        <v>30</v>
      </c>
      <c r="G34" s="236">
        <v>3</v>
      </c>
      <c r="H34" s="320"/>
      <c r="I34" s="307"/>
      <c r="J34" s="307"/>
      <c r="K34" s="307"/>
      <c r="L34" s="307"/>
      <c r="M34" s="307"/>
      <c r="N34" s="307">
        <v>1</v>
      </c>
      <c r="O34" s="307">
        <f t="shared" ref="O34" si="14">N34*16</f>
        <v>16</v>
      </c>
      <c r="P34" s="307"/>
      <c r="Q34" s="307"/>
      <c r="R34" s="307"/>
      <c r="S34" s="307">
        <f t="shared" ref="S34" si="15">R34*16</f>
        <v>0</v>
      </c>
      <c r="T34" s="527">
        <f t="shared" si="13"/>
        <v>1</v>
      </c>
      <c r="U34" s="528">
        <f t="shared" si="13"/>
        <v>16</v>
      </c>
    </row>
    <row r="35" spans="2:21" ht="20.399999999999999" customHeight="1">
      <c r="B35" s="945"/>
      <c r="C35" s="948"/>
      <c r="D35" s="235" t="s">
        <v>671</v>
      </c>
      <c r="E35" s="235" t="s">
        <v>672</v>
      </c>
      <c r="F35" s="235">
        <v>40</v>
      </c>
      <c r="G35" s="235">
        <v>3</v>
      </c>
      <c r="H35" s="320"/>
      <c r="I35" s="307"/>
      <c r="J35" s="307"/>
      <c r="K35" s="307"/>
      <c r="L35" s="307"/>
      <c r="M35" s="307"/>
      <c r="N35" s="307"/>
      <c r="O35" s="307"/>
      <c r="P35" s="307">
        <v>5</v>
      </c>
      <c r="Q35" s="307">
        <f t="shared" ref="Q35:Q36" si="16">P35*16</f>
        <v>80</v>
      </c>
      <c r="R35" s="307"/>
      <c r="S35" s="307"/>
      <c r="T35" s="527">
        <f t="shared" si="13"/>
        <v>5</v>
      </c>
      <c r="U35" s="528">
        <f t="shared" si="13"/>
        <v>80</v>
      </c>
    </row>
    <row r="36" spans="2:21">
      <c r="B36" s="945"/>
      <c r="C36" s="948"/>
      <c r="D36" s="236" t="s">
        <v>673</v>
      </c>
      <c r="E36" s="236" t="s">
        <v>674</v>
      </c>
      <c r="F36" s="236">
        <v>30</v>
      </c>
      <c r="G36" s="236">
        <v>3</v>
      </c>
      <c r="H36" s="320"/>
      <c r="I36" s="307"/>
      <c r="J36" s="307"/>
      <c r="K36" s="307"/>
      <c r="L36" s="307"/>
      <c r="M36" s="307"/>
      <c r="N36" s="307"/>
      <c r="O36" s="307"/>
      <c r="P36" s="307">
        <v>5</v>
      </c>
      <c r="Q36" s="307">
        <f t="shared" si="16"/>
        <v>80</v>
      </c>
      <c r="R36" s="307"/>
      <c r="S36" s="307"/>
      <c r="T36" s="527">
        <f t="shared" si="13"/>
        <v>5</v>
      </c>
      <c r="U36" s="528">
        <f t="shared" si="13"/>
        <v>80</v>
      </c>
    </row>
    <row r="37" spans="2:21" ht="18" thickBot="1">
      <c r="B37" s="946"/>
      <c r="C37" s="949"/>
      <c r="D37" s="1091" t="s">
        <v>16</v>
      </c>
      <c r="E37" s="1092"/>
      <c r="F37" s="462"/>
      <c r="G37" s="462"/>
      <c r="H37" s="315"/>
      <c r="I37" s="315"/>
      <c r="J37" s="315"/>
      <c r="K37" s="315"/>
      <c r="L37" s="315"/>
      <c r="M37" s="315"/>
      <c r="N37" s="315">
        <f t="shared" ref="N37:U37" si="17">SUM(N33:N36)</f>
        <v>3</v>
      </c>
      <c r="O37" s="315">
        <f t="shared" si="17"/>
        <v>48</v>
      </c>
      <c r="P37" s="315">
        <f t="shared" si="17"/>
        <v>10</v>
      </c>
      <c r="Q37" s="315">
        <f t="shared" si="17"/>
        <v>160</v>
      </c>
      <c r="R37" s="315">
        <f t="shared" si="17"/>
        <v>0</v>
      </c>
      <c r="S37" s="315">
        <f t="shared" si="17"/>
        <v>0</v>
      </c>
      <c r="T37" s="295">
        <f t="shared" si="17"/>
        <v>13</v>
      </c>
      <c r="U37" s="532">
        <f t="shared" si="17"/>
        <v>208</v>
      </c>
    </row>
    <row r="38" spans="2:21" ht="16.5" customHeight="1">
      <c r="B38" s="944" t="s">
        <v>675</v>
      </c>
      <c r="C38" s="1002">
        <f>T42</f>
        <v>18</v>
      </c>
      <c r="D38" s="219" t="s">
        <v>676</v>
      </c>
      <c r="E38" s="219" t="s">
        <v>677</v>
      </c>
      <c r="F38" s="219">
        <v>30</v>
      </c>
      <c r="G38" s="230">
        <v>2</v>
      </c>
      <c r="H38" s="321"/>
      <c r="I38" s="322"/>
      <c r="J38" s="322"/>
      <c r="K38" s="322"/>
      <c r="L38" s="322"/>
      <c r="M38" s="322"/>
      <c r="N38" s="322"/>
      <c r="O38" s="322"/>
      <c r="P38" s="322">
        <v>3</v>
      </c>
      <c r="Q38" s="598">
        <f>P38*16</f>
        <v>48</v>
      </c>
      <c r="R38" s="322"/>
      <c r="S38" s="322"/>
      <c r="T38" s="617">
        <f t="shared" ref="T38:U41" si="18">SUM(H38,J38,L38,N38,P38,R38)</f>
        <v>3</v>
      </c>
      <c r="U38" s="613">
        <f t="shared" si="18"/>
        <v>48</v>
      </c>
    </row>
    <row r="39" spans="2:21">
      <c r="B39" s="945"/>
      <c r="C39" s="1003"/>
      <c r="D39" s="277" t="s">
        <v>678</v>
      </c>
      <c r="E39" s="277" t="s">
        <v>679</v>
      </c>
      <c r="F39" s="277">
        <v>40</v>
      </c>
      <c r="G39" s="278">
        <v>3</v>
      </c>
      <c r="H39" s="279"/>
      <c r="I39" s="280"/>
      <c r="J39" s="280"/>
      <c r="K39" s="280"/>
      <c r="L39" s="280"/>
      <c r="M39" s="280"/>
      <c r="N39" s="280"/>
      <c r="O39" s="280"/>
      <c r="P39" s="280">
        <v>4</v>
      </c>
      <c r="Q39" s="284">
        <f>P39*16</f>
        <v>64</v>
      </c>
      <c r="R39" s="280"/>
      <c r="S39" s="280"/>
      <c r="T39" s="527">
        <f t="shared" si="18"/>
        <v>4</v>
      </c>
      <c r="U39" s="531">
        <f t="shared" si="18"/>
        <v>64</v>
      </c>
    </row>
    <row r="40" spans="2:21">
      <c r="B40" s="945"/>
      <c r="C40" s="1003"/>
      <c r="D40" s="323" t="s">
        <v>680</v>
      </c>
      <c r="E40" s="323" t="s">
        <v>681</v>
      </c>
      <c r="F40" s="323">
        <v>40</v>
      </c>
      <c r="G40" s="323">
        <v>4</v>
      </c>
      <c r="H40" s="324"/>
      <c r="I40" s="280"/>
      <c r="J40" s="280"/>
      <c r="K40" s="280"/>
      <c r="L40" s="280"/>
      <c r="M40" s="280"/>
      <c r="N40" s="280"/>
      <c r="O40" s="280"/>
      <c r="P40" s="280"/>
      <c r="Q40" s="280"/>
      <c r="R40" s="280">
        <v>6</v>
      </c>
      <c r="S40" s="280">
        <f>R40*16</f>
        <v>96</v>
      </c>
      <c r="T40" s="527">
        <f t="shared" si="18"/>
        <v>6</v>
      </c>
      <c r="U40" s="528">
        <f t="shared" si="18"/>
        <v>96</v>
      </c>
    </row>
    <row r="41" spans="2:21">
      <c r="B41" s="945"/>
      <c r="C41" s="1003"/>
      <c r="D41" s="262" t="s">
        <v>682</v>
      </c>
      <c r="E41" s="262" t="s">
        <v>683</v>
      </c>
      <c r="F41" s="262">
        <v>50</v>
      </c>
      <c r="G41" s="262">
        <v>3</v>
      </c>
      <c r="H41" s="327"/>
      <c r="I41" s="284"/>
      <c r="J41" s="284"/>
      <c r="K41" s="284"/>
      <c r="L41" s="284"/>
      <c r="M41" s="284"/>
      <c r="N41" s="284"/>
      <c r="O41" s="284"/>
      <c r="P41" s="284"/>
      <c r="Q41" s="284"/>
      <c r="R41" s="284">
        <v>5</v>
      </c>
      <c r="S41" s="280">
        <f>R41*16</f>
        <v>80</v>
      </c>
      <c r="T41" s="525">
        <f t="shared" si="18"/>
        <v>5</v>
      </c>
      <c r="U41" s="526">
        <f t="shared" si="18"/>
        <v>80</v>
      </c>
    </row>
    <row r="42" spans="2:21" ht="18" thickBot="1">
      <c r="B42" s="946"/>
      <c r="C42" s="1004"/>
      <c r="D42" s="1026" t="s">
        <v>16</v>
      </c>
      <c r="E42" s="1027"/>
      <c r="F42" s="463"/>
      <c r="G42" s="463"/>
      <c r="H42" s="295"/>
      <c r="I42" s="295"/>
      <c r="J42" s="295"/>
      <c r="K42" s="295"/>
      <c r="L42" s="295"/>
      <c r="M42" s="295"/>
      <c r="N42" s="295"/>
      <c r="O42" s="295"/>
      <c r="P42" s="295">
        <f>SUM(P38:P41)</f>
        <v>7</v>
      </c>
      <c r="Q42" s="295">
        <f>SUM(Q38:Q41)</f>
        <v>112</v>
      </c>
      <c r="R42" s="295">
        <f>SUM(R40:R41)</f>
        <v>11</v>
      </c>
      <c r="S42" s="295">
        <f>SUM(S38:S41)</f>
        <v>176</v>
      </c>
      <c r="T42" s="295">
        <f>SUM(T38:T41)</f>
        <v>18</v>
      </c>
      <c r="U42" s="532">
        <f>SUM(U38:U41)</f>
        <v>288</v>
      </c>
    </row>
    <row r="43" spans="2:21" ht="16.5" customHeight="1">
      <c r="B43" s="944" t="s">
        <v>684</v>
      </c>
      <c r="C43" s="1002">
        <f>T47</f>
        <v>15</v>
      </c>
      <c r="D43" s="323" t="s">
        <v>685</v>
      </c>
      <c r="E43" s="323" t="s">
        <v>686</v>
      </c>
      <c r="F43" s="323">
        <v>40</v>
      </c>
      <c r="G43" s="323">
        <v>3</v>
      </c>
      <c r="H43" s="324"/>
      <c r="I43" s="280"/>
      <c r="J43" s="280"/>
      <c r="K43" s="280"/>
      <c r="L43" s="280"/>
      <c r="M43" s="280"/>
      <c r="N43" s="280"/>
      <c r="O43" s="280"/>
      <c r="P43" s="280">
        <v>4</v>
      </c>
      <c r="Q43" s="280">
        <f>P43*16</f>
        <v>64</v>
      </c>
      <c r="R43" s="280"/>
      <c r="S43" s="280"/>
      <c r="T43" s="525">
        <f t="shared" ref="T43:U46" si="19">SUM(H43,J43,L43,N43,P43,R43)</f>
        <v>4</v>
      </c>
      <c r="U43" s="526">
        <f t="shared" si="19"/>
        <v>64</v>
      </c>
    </row>
    <row r="44" spans="2:21">
      <c r="B44" s="945"/>
      <c r="C44" s="1003"/>
      <c r="D44" s="262" t="s">
        <v>687</v>
      </c>
      <c r="E44" s="262" t="s">
        <v>688</v>
      </c>
      <c r="F44" s="262">
        <v>40</v>
      </c>
      <c r="G44" s="262">
        <v>3</v>
      </c>
      <c r="H44" s="327"/>
      <c r="I44" s="284"/>
      <c r="J44" s="284"/>
      <c r="K44" s="284"/>
      <c r="L44" s="284"/>
      <c r="M44" s="284"/>
      <c r="N44" s="284"/>
      <c r="O44" s="284"/>
      <c r="P44" s="284">
        <v>4</v>
      </c>
      <c r="Q44" s="280">
        <f>P44*16</f>
        <v>64</v>
      </c>
      <c r="R44" s="284"/>
      <c r="S44" s="284"/>
      <c r="T44" s="527">
        <f t="shared" si="19"/>
        <v>4</v>
      </c>
      <c r="U44" s="528">
        <f t="shared" si="19"/>
        <v>64</v>
      </c>
    </row>
    <row r="45" spans="2:21">
      <c r="B45" s="945"/>
      <c r="C45" s="1003"/>
      <c r="D45" s="323" t="s">
        <v>689</v>
      </c>
      <c r="E45" s="323" t="s">
        <v>690</v>
      </c>
      <c r="F45" s="323">
        <v>40</v>
      </c>
      <c r="G45" s="323">
        <v>3</v>
      </c>
      <c r="H45" s="324"/>
      <c r="I45" s="280"/>
      <c r="J45" s="280"/>
      <c r="K45" s="280"/>
      <c r="L45" s="280"/>
      <c r="M45" s="280"/>
      <c r="N45" s="280"/>
      <c r="O45" s="280"/>
      <c r="P45" s="280"/>
      <c r="Q45" s="280"/>
      <c r="R45" s="280">
        <v>3</v>
      </c>
      <c r="S45" s="280">
        <f>R45*16</f>
        <v>48</v>
      </c>
      <c r="T45" s="525">
        <f t="shared" si="19"/>
        <v>3</v>
      </c>
      <c r="U45" s="526">
        <f t="shared" si="19"/>
        <v>48</v>
      </c>
    </row>
    <row r="46" spans="2:21">
      <c r="B46" s="945"/>
      <c r="C46" s="1003"/>
      <c r="D46" s="262" t="s">
        <v>691</v>
      </c>
      <c r="E46" s="262" t="s">
        <v>692</v>
      </c>
      <c r="F46" s="262">
        <v>40</v>
      </c>
      <c r="G46" s="262">
        <v>3</v>
      </c>
      <c r="H46" s="327"/>
      <c r="I46" s="284"/>
      <c r="J46" s="284"/>
      <c r="K46" s="284"/>
      <c r="L46" s="284"/>
      <c r="M46" s="284"/>
      <c r="N46" s="284"/>
      <c r="O46" s="284"/>
      <c r="P46" s="284"/>
      <c r="Q46" s="284"/>
      <c r="R46" s="284">
        <v>4</v>
      </c>
      <c r="S46" s="280">
        <f>R46*16</f>
        <v>64</v>
      </c>
      <c r="T46" s="527">
        <f t="shared" si="19"/>
        <v>4</v>
      </c>
      <c r="U46" s="528">
        <f t="shared" si="19"/>
        <v>64</v>
      </c>
    </row>
    <row r="47" spans="2:21" ht="18" thickBot="1">
      <c r="B47" s="945"/>
      <c r="C47" s="1003"/>
      <c r="D47" s="1115" t="s">
        <v>16</v>
      </c>
      <c r="E47" s="1116"/>
      <c r="F47" s="339"/>
      <c r="G47" s="535"/>
      <c r="H47" s="536"/>
      <c r="I47" s="536"/>
      <c r="J47" s="536"/>
      <c r="K47" s="536"/>
      <c r="L47" s="536"/>
      <c r="M47" s="536"/>
      <c r="N47" s="536"/>
      <c r="O47" s="536"/>
      <c r="P47" s="536">
        <f>SUM(P43:P46)</f>
        <v>8</v>
      </c>
      <c r="Q47" s="536">
        <f>SUM(Q43:Q46)</f>
        <v>128</v>
      </c>
      <c r="R47" s="536">
        <f>SUM(R45:R46)</f>
        <v>7</v>
      </c>
      <c r="S47" s="536">
        <f>SUM(S43:S46)</f>
        <v>112</v>
      </c>
      <c r="T47" s="536">
        <f>SUM(T43:T46)</f>
        <v>15</v>
      </c>
      <c r="U47" s="537">
        <f>SUM(U43:U46)</f>
        <v>240</v>
      </c>
    </row>
    <row r="48" spans="2:21">
      <c r="B48" s="1117" t="s">
        <v>913</v>
      </c>
      <c r="C48" s="947">
        <f>T50</f>
        <v>11</v>
      </c>
      <c r="D48" s="505" t="s">
        <v>914</v>
      </c>
      <c r="E48" s="505" t="s">
        <v>915</v>
      </c>
      <c r="F48" s="538">
        <v>45</v>
      </c>
      <c r="G48" s="228">
        <v>3</v>
      </c>
      <c r="H48" s="300"/>
      <c r="I48" s="300"/>
      <c r="J48" s="230"/>
      <c r="K48" s="539"/>
      <c r="L48" s="300"/>
      <c r="M48" s="300"/>
      <c r="N48" s="300"/>
      <c r="O48" s="300"/>
      <c r="P48" s="300"/>
      <c r="Q48" s="300"/>
      <c r="R48" s="300">
        <v>6</v>
      </c>
      <c r="S48" s="599">
        <f>R48*16</f>
        <v>96</v>
      </c>
      <c r="T48" s="618">
        <f>SUM(H48,J48,L48,N48,P48,R48)</f>
        <v>6</v>
      </c>
      <c r="U48" s="614">
        <f>T48*16</f>
        <v>96</v>
      </c>
    </row>
    <row r="49" spans="2:23">
      <c r="B49" s="1118"/>
      <c r="C49" s="1113"/>
      <c r="D49" s="542" t="s">
        <v>916</v>
      </c>
      <c r="E49" s="236" t="s">
        <v>917</v>
      </c>
      <c r="F49" s="555">
        <v>40</v>
      </c>
      <c r="G49" s="555">
        <v>3</v>
      </c>
      <c r="H49" s="306"/>
      <c r="I49" s="306"/>
      <c r="J49" s="236"/>
      <c r="K49" s="236"/>
      <c r="L49" s="306"/>
      <c r="M49" s="306"/>
      <c r="N49" s="306"/>
      <c r="O49" s="306"/>
      <c r="P49" s="306"/>
      <c r="Q49" s="306"/>
      <c r="R49" s="306">
        <v>5</v>
      </c>
      <c r="S49" s="307">
        <f>R49*16</f>
        <v>80</v>
      </c>
      <c r="T49" s="523">
        <f>SUM(H49,J49,L49,N49,P49,R49)</f>
        <v>5</v>
      </c>
      <c r="U49" s="524">
        <f>T49*16</f>
        <v>80</v>
      </c>
    </row>
    <row r="50" spans="2:23" ht="18" thickBot="1">
      <c r="B50" s="1119"/>
      <c r="C50" s="1114"/>
      <c r="D50" s="937" t="s">
        <v>16</v>
      </c>
      <c r="E50" s="937"/>
      <c r="F50" s="543"/>
      <c r="G50" s="501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>
        <f>SUM(R48:R49)</f>
        <v>11</v>
      </c>
      <c r="S50" s="600">
        <f>SUM(S48:S49)</f>
        <v>176</v>
      </c>
      <c r="T50" s="544">
        <f>SUM(T48:T49)</f>
        <v>11</v>
      </c>
      <c r="U50" s="545">
        <f>SUM(U48:U49)</f>
        <v>176</v>
      </c>
    </row>
    <row r="51" spans="2:23">
      <c r="B51" s="1118" t="s">
        <v>918</v>
      </c>
      <c r="C51" s="948">
        <f>T59</f>
        <v>22</v>
      </c>
      <c r="D51" s="511" t="s">
        <v>919</v>
      </c>
      <c r="E51" s="494" t="s">
        <v>920</v>
      </c>
      <c r="F51" s="564">
        <v>40</v>
      </c>
      <c r="G51" s="228">
        <v>3</v>
      </c>
      <c r="H51" s="306"/>
      <c r="I51" s="306"/>
      <c r="J51" s="306"/>
      <c r="K51" s="306"/>
      <c r="L51" s="306">
        <v>3</v>
      </c>
      <c r="M51" s="306">
        <f>L51*16</f>
        <v>48</v>
      </c>
      <c r="N51" s="306"/>
      <c r="O51" s="306"/>
      <c r="P51" s="306"/>
      <c r="Q51" s="306"/>
      <c r="R51" s="306"/>
      <c r="S51" s="306"/>
      <c r="T51" s="517">
        <f>SUM(H51,J51,L51,N51,P51,R51)</f>
        <v>3</v>
      </c>
      <c r="U51" s="518">
        <f>T51*16</f>
        <v>48</v>
      </c>
      <c r="W51" s="368"/>
    </row>
    <row r="52" spans="2:23">
      <c r="B52" s="1118"/>
      <c r="C52" s="948"/>
      <c r="D52" s="511" t="s">
        <v>921</v>
      </c>
      <c r="E52" s="546" t="s">
        <v>922</v>
      </c>
      <c r="F52" s="490">
        <v>40</v>
      </c>
      <c r="G52" s="511">
        <v>3</v>
      </c>
      <c r="H52" s="306"/>
      <c r="I52" s="306"/>
      <c r="J52" s="306"/>
      <c r="K52" s="306"/>
      <c r="L52" s="306">
        <v>3</v>
      </c>
      <c r="M52" s="306">
        <f t="shared" ref="M52:M54" si="20">L52*16</f>
        <v>48</v>
      </c>
      <c r="N52" s="306"/>
      <c r="O52" s="306"/>
      <c r="P52" s="306"/>
      <c r="Q52" s="306"/>
      <c r="R52" s="306"/>
      <c r="S52" s="307"/>
      <c r="T52" s="517">
        <f t="shared" ref="T52:T58" si="21">SUM(H52,J52,L52,N52,P52,R52)</f>
        <v>3</v>
      </c>
      <c r="U52" s="518">
        <f t="shared" ref="U52:U58" si="22">T52*16</f>
        <v>48</v>
      </c>
    </row>
    <row r="53" spans="2:23">
      <c r="B53" s="1118"/>
      <c r="C53" s="948"/>
      <c r="D53" s="511" t="s">
        <v>923</v>
      </c>
      <c r="E53" s="546" t="s">
        <v>924</v>
      </c>
      <c r="F53" s="490">
        <v>50</v>
      </c>
      <c r="G53" s="511">
        <v>3</v>
      </c>
      <c r="H53" s="306"/>
      <c r="I53" s="306"/>
      <c r="J53" s="306"/>
      <c r="K53" s="306"/>
      <c r="L53" s="306">
        <v>3</v>
      </c>
      <c r="M53" s="306">
        <f t="shared" si="20"/>
        <v>48</v>
      </c>
      <c r="N53" s="306"/>
      <c r="O53" s="306"/>
      <c r="P53" s="306"/>
      <c r="Q53" s="306"/>
      <c r="R53" s="306"/>
      <c r="S53" s="307"/>
      <c r="T53" s="517">
        <f t="shared" si="21"/>
        <v>3</v>
      </c>
      <c r="U53" s="518">
        <f t="shared" si="22"/>
        <v>48</v>
      </c>
    </row>
    <row r="54" spans="2:23">
      <c r="B54" s="1118"/>
      <c r="C54" s="948"/>
      <c r="D54" s="547" t="s">
        <v>925</v>
      </c>
      <c r="E54" s="548" t="s">
        <v>926</v>
      </c>
      <c r="F54" s="549">
        <v>50</v>
      </c>
      <c r="G54" s="547">
        <v>3</v>
      </c>
      <c r="H54" s="550"/>
      <c r="I54" s="550"/>
      <c r="J54" s="550"/>
      <c r="K54" s="550"/>
      <c r="L54" s="550">
        <v>2</v>
      </c>
      <c r="M54" s="306">
        <f t="shared" si="20"/>
        <v>32</v>
      </c>
      <c r="N54" s="550"/>
      <c r="O54" s="550"/>
      <c r="P54" s="550"/>
      <c r="Q54" s="550"/>
      <c r="R54" s="550"/>
      <c r="S54" s="372"/>
      <c r="T54" s="517">
        <f t="shared" si="21"/>
        <v>2</v>
      </c>
      <c r="U54" s="518">
        <f t="shared" si="22"/>
        <v>32</v>
      </c>
    </row>
    <row r="55" spans="2:23">
      <c r="B55" s="1118"/>
      <c r="C55" s="948"/>
      <c r="D55" s="236" t="s">
        <v>927</v>
      </c>
      <c r="E55" s="236" t="s">
        <v>928</v>
      </c>
      <c r="F55" s="236">
        <v>40</v>
      </c>
      <c r="G55" s="243">
        <v>4</v>
      </c>
      <c r="H55" s="236"/>
      <c r="I55" s="236"/>
      <c r="J55" s="236"/>
      <c r="K55" s="236"/>
      <c r="L55" s="236"/>
      <c r="M55" s="236"/>
      <c r="N55" s="236">
        <v>3</v>
      </c>
      <c r="O55" s="236">
        <f>N55*16</f>
        <v>48</v>
      </c>
      <c r="P55" s="236"/>
      <c r="Q55" s="236"/>
      <c r="R55" s="236"/>
      <c r="S55" s="236"/>
      <c r="T55" s="517">
        <f t="shared" si="21"/>
        <v>3</v>
      </c>
      <c r="U55" s="518">
        <f t="shared" si="22"/>
        <v>48</v>
      </c>
    </row>
    <row r="56" spans="2:23">
      <c r="B56" s="1118"/>
      <c r="C56" s="948"/>
      <c r="D56" s="511" t="s">
        <v>929</v>
      </c>
      <c r="E56" s="551" t="s">
        <v>930</v>
      </c>
      <c r="F56" s="552">
        <v>40</v>
      </c>
      <c r="G56" s="511">
        <v>3</v>
      </c>
      <c r="H56" s="306"/>
      <c r="I56" s="306"/>
      <c r="J56" s="306"/>
      <c r="K56" s="306"/>
      <c r="L56" s="306"/>
      <c r="M56" s="306"/>
      <c r="N56" s="306">
        <v>3</v>
      </c>
      <c r="O56" s="236">
        <f t="shared" ref="O56:O58" si="23">N56*16</f>
        <v>48</v>
      </c>
      <c r="P56" s="306"/>
      <c r="Q56" s="306"/>
      <c r="R56" s="306"/>
      <c r="S56" s="306"/>
      <c r="T56" s="517">
        <f t="shared" si="21"/>
        <v>3</v>
      </c>
      <c r="U56" s="518">
        <f t="shared" si="22"/>
        <v>48</v>
      </c>
    </row>
    <row r="57" spans="2:23">
      <c r="B57" s="1118"/>
      <c r="C57" s="948"/>
      <c r="D57" s="511" t="s">
        <v>931</v>
      </c>
      <c r="E57" s="553" t="s">
        <v>932</v>
      </c>
      <c r="F57" s="554">
        <v>40</v>
      </c>
      <c r="G57" s="511">
        <v>3</v>
      </c>
      <c r="H57" s="306"/>
      <c r="I57" s="306"/>
      <c r="J57" s="306"/>
      <c r="K57" s="306"/>
      <c r="L57" s="306"/>
      <c r="M57" s="306"/>
      <c r="N57" s="306">
        <v>3</v>
      </c>
      <c r="O57" s="236">
        <f t="shared" si="23"/>
        <v>48</v>
      </c>
      <c r="P57" s="306"/>
      <c r="Q57" s="306"/>
      <c r="R57" s="306"/>
      <c r="S57" s="307"/>
      <c r="T57" s="517">
        <f t="shared" si="21"/>
        <v>3</v>
      </c>
      <c r="U57" s="518">
        <f t="shared" si="22"/>
        <v>48</v>
      </c>
    </row>
    <row r="58" spans="2:23">
      <c r="B58" s="1118"/>
      <c r="C58" s="948"/>
      <c r="D58" s="243" t="s">
        <v>933</v>
      </c>
      <c r="E58" s="243" t="s">
        <v>934</v>
      </c>
      <c r="F58" s="243">
        <v>30</v>
      </c>
      <c r="G58" s="243">
        <v>3</v>
      </c>
      <c r="H58" s="307"/>
      <c r="I58" s="307"/>
      <c r="J58" s="307"/>
      <c r="K58" s="307"/>
      <c r="L58" s="307"/>
      <c r="M58" s="307"/>
      <c r="N58" s="307">
        <v>2</v>
      </c>
      <c r="O58" s="236">
        <f t="shared" si="23"/>
        <v>32</v>
      </c>
      <c r="P58" s="307"/>
      <c r="Q58" s="307"/>
      <c r="R58" s="307"/>
      <c r="S58" s="307"/>
      <c r="T58" s="517">
        <f t="shared" si="21"/>
        <v>2</v>
      </c>
      <c r="U58" s="518">
        <f t="shared" si="22"/>
        <v>32</v>
      </c>
    </row>
    <row r="59" spans="2:23" ht="18" thickBot="1">
      <c r="B59" s="1119"/>
      <c r="C59" s="949"/>
      <c r="D59" s="937" t="s">
        <v>16</v>
      </c>
      <c r="E59" s="937"/>
      <c r="F59" s="462"/>
      <c r="G59" s="501"/>
      <c r="H59" s="315"/>
      <c r="I59" s="315"/>
      <c r="J59" s="315"/>
      <c r="K59" s="315"/>
      <c r="L59" s="315">
        <f>SUM(L51:L58)</f>
        <v>11</v>
      </c>
      <c r="M59" s="315">
        <f>SUM(M51:M58)</f>
        <v>176</v>
      </c>
      <c r="N59" s="315">
        <f>SUM(N51:N58)</f>
        <v>11</v>
      </c>
      <c r="O59" s="315">
        <f>SUM(O51:O58)</f>
        <v>176</v>
      </c>
      <c r="P59" s="315"/>
      <c r="Q59" s="315"/>
      <c r="R59" s="315"/>
      <c r="S59" s="315"/>
      <c r="T59" s="544">
        <f>SUM(T51:T58)</f>
        <v>22</v>
      </c>
      <c r="U59" s="545">
        <f>SUM(U51:U58)</f>
        <v>352</v>
      </c>
    </row>
    <row r="60" spans="2:23">
      <c r="B60" s="1117" t="s">
        <v>935</v>
      </c>
      <c r="C60" s="947">
        <f>T64</f>
        <v>16</v>
      </c>
      <c r="D60" s="505" t="s">
        <v>936</v>
      </c>
      <c r="E60" s="505" t="s">
        <v>937</v>
      </c>
      <c r="F60" s="505">
        <v>30</v>
      </c>
      <c r="G60" s="505">
        <v>3</v>
      </c>
      <c r="H60" s="508"/>
      <c r="I60" s="508"/>
      <c r="J60" s="508"/>
      <c r="K60" s="508"/>
      <c r="L60" s="508"/>
      <c r="M60" s="508"/>
      <c r="N60" s="508"/>
      <c r="O60" s="508"/>
      <c r="P60" s="301">
        <v>3</v>
      </c>
      <c r="Q60" s="601">
        <f>P60*16</f>
        <v>48</v>
      </c>
      <c r="R60" s="508"/>
      <c r="S60" s="508"/>
      <c r="T60" s="601">
        <f>SUM(H60,J60,L60,N60,P60,R60)</f>
        <v>3</v>
      </c>
      <c r="U60" s="615">
        <f>T60*16</f>
        <v>48</v>
      </c>
    </row>
    <row r="61" spans="2:23">
      <c r="B61" s="1118"/>
      <c r="C61" s="1113"/>
      <c r="D61" s="555" t="s">
        <v>938</v>
      </c>
      <c r="E61" s="555" t="s">
        <v>939</v>
      </c>
      <c r="F61" s="555">
        <v>25</v>
      </c>
      <c r="G61" s="555">
        <v>3</v>
      </c>
      <c r="H61" s="556"/>
      <c r="I61" s="556"/>
      <c r="J61" s="556"/>
      <c r="K61" s="556"/>
      <c r="L61" s="556"/>
      <c r="M61" s="556"/>
      <c r="N61" s="556"/>
      <c r="O61" s="556"/>
      <c r="P61" s="317">
        <v>2</v>
      </c>
      <c r="Q61" s="314">
        <f>P61*16</f>
        <v>32</v>
      </c>
      <c r="R61" s="556"/>
      <c r="S61" s="556"/>
      <c r="T61" s="373">
        <f t="shared" ref="T61:T63" si="24">SUM(H61,J61,L61,N61,P61,R61)</f>
        <v>2</v>
      </c>
      <c r="U61" s="616">
        <f t="shared" ref="U61:U63" si="25">T61*16</f>
        <v>32</v>
      </c>
    </row>
    <row r="62" spans="2:23">
      <c r="B62" s="1118"/>
      <c r="C62" s="1113"/>
      <c r="D62" s="555" t="s">
        <v>914</v>
      </c>
      <c r="E62" s="555" t="s">
        <v>915</v>
      </c>
      <c r="F62" s="555">
        <v>45</v>
      </c>
      <c r="G62" s="555">
        <v>3</v>
      </c>
      <c r="H62" s="556"/>
      <c r="I62" s="556"/>
      <c r="J62" s="556"/>
      <c r="K62" s="556"/>
      <c r="L62" s="556"/>
      <c r="M62" s="556"/>
      <c r="N62" s="556"/>
      <c r="O62" s="556"/>
      <c r="P62" s="317"/>
      <c r="Q62" s="317"/>
      <c r="R62" s="317">
        <v>6</v>
      </c>
      <c r="S62" s="317">
        <f>R62*16</f>
        <v>96</v>
      </c>
      <c r="T62" s="314">
        <f t="shared" si="24"/>
        <v>6</v>
      </c>
      <c r="U62" s="611">
        <f t="shared" si="25"/>
        <v>96</v>
      </c>
    </row>
    <row r="63" spans="2:23">
      <c r="B63" s="1118"/>
      <c r="C63" s="1113"/>
      <c r="D63" s="542" t="s">
        <v>916</v>
      </c>
      <c r="E63" s="236" t="s">
        <v>917</v>
      </c>
      <c r="F63" s="555">
        <v>40</v>
      </c>
      <c r="G63" s="555">
        <v>3</v>
      </c>
      <c r="H63" s="556"/>
      <c r="I63" s="556"/>
      <c r="J63" s="556"/>
      <c r="K63" s="556"/>
      <c r="L63" s="556"/>
      <c r="M63" s="556"/>
      <c r="N63" s="556"/>
      <c r="O63" s="556"/>
      <c r="P63" s="317"/>
      <c r="Q63" s="317"/>
      <c r="R63" s="317">
        <v>5</v>
      </c>
      <c r="S63" s="317">
        <f>R63*16</f>
        <v>80</v>
      </c>
      <c r="T63" s="317">
        <f t="shared" si="24"/>
        <v>5</v>
      </c>
      <c r="U63" s="557">
        <f t="shared" si="25"/>
        <v>80</v>
      </c>
    </row>
    <row r="64" spans="2:23" ht="18" thickBot="1">
      <c r="B64" s="1118"/>
      <c r="C64" s="1113"/>
      <c r="D64" s="1064" t="s">
        <v>16</v>
      </c>
      <c r="E64" s="1064"/>
      <c r="F64" s="558"/>
      <c r="G64" s="559"/>
      <c r="H64" s="560"/>
      <c r="I64" s="560"/>
      <c r="J64" s="560"/>
      <c r="K64" s="560"/>
      <c r="L64" s="560"/>
      <c r="M64" s="560"/>
      <c r="N64" s="560"/>
      <c r="O64" s="560"/>
      <c r="P64" s="560">
        <f>SUM(P60:P63)</f>
        <v>5</v>
      </c>
      <c r="Q64" s="560">
        <f t="shared" ref="Q64:U64" si="26">SUM(Q60:Q63)</f>
        <v>80</v>
      </c>
      <c r="R64" s="560">
        <f t="shared" si="26"/>
        <v>11</v>
      </c>
      <c r="S64" s="560">
        <f t="shared" si="26"/>
        <v>176</v>
      </c>
      <c r="T64" s="560">
        <f t="shared" si="26"/>
        <v>16</v>
      </c>
      <c r="U64" s="561">
        <f t="shared" si="26"/>
        <v>256</v>
      </c>
    </row>
    <row r="65" spans="2:21">
      <c r="B65" s="1110" t="s">
        <v>940</v>
      </c>
      <c r="C65" s="947">
        <f>T75</f>
        <v>26</v>
      </c>
      <c r="D65" s="562" t="s">
        <v>941</v>
      </c>
      <c r="E65" s="563" t="s">
        <v>942</v>
      </c>
      <c r="F65" s="594">
        <v>30</v>
      </c>
      <c r="G65" s="631">
        <v>2</v>
      </c>
      <c r="H65" s="508"/>
      <c r="I65" s="508"/>
      <c r="J65" s="508"/>
      <c r="K65" s="508"/>
      <c r="L65" s="508"/>
      <c r="M65" s="508"/>
      <c r="N65" s="508"/>
      <c r="O65" s="508"/>
      <c r="P65" s="301">
        <v>2</v>
      </c>
      <c r="Q65" s="301">
        <f>P65*16</f>
        <v>32</v>
      </c>
      <c r="R65" s="301"/>
      <c r="S65" s="301"/>
      <c r="T65" s="601">
        <f>SUM(H65,J65,L65,N65,P65,R65)</f>
        <v>2</v>
      </c>
      <c r="U65" s="510">
        <f>T65*16</f>
        <v>32</v>
      </c>
    </row>
    <row r="66" spans="2:21">
      <c r="B66" s="1111"/>
      <c r="C66" s="1113"/>
      <c r="D66" s="490" t="s">
        <v>943</v>
      </c>
      <c r="E66" s="490" t="s">
        <v>944</v>
      </c>
      <c r="F66" s="632">
        <v>40</v>
      </c>
      <c r="G66" s="633">
        <v>2</v>
      </c>
      <c r="H66" s="556"/>
      <c r="I66" s="556"/>
      <c r="J66" s="556"/>
      <c r="K66" s="556"/>
      <c r="L66" s="556"/>
      <c r="M66" s="556"/>
      <c r="N66" s="556"/>
      <c r="O66" s="556"/>
      <c r="P66" s="317">
        <v>2</v>
      </c>
      <c r="Q66" s="314">
        <f t="shared" ref="Q66:Q70" si="27">P66*16</f>
        <v>32</v>
      </c>
      <c r="R66" s="317"/>
      <c r="S66" s="317"/>
      <c r="T66" s="314">
        <f t="shared" ref="T66:T74" si="28">SUM(H66,J66,L66,N66,P66,R66)</f>
        <v>2</v>
      </c>
      <c r="U66" s="611">
        <f t="shared" ref="U66:U74" si="29">T66*16</f>
        <v>32</v>
      </c>
    </row>
    <row r="67" spans="2:21">
      <c r="B67" s="1111"/>
      <c r="C67" s="1113"/>
      <c r="D67" s="490" t="s">
        <v>945</v>
      </c>
      <c r="E67" s="490" t="s">
        <v>946</v>
      </c>
      <c r="F67" s="317">
        <v>40</v>
      </c>
      <c r="G67" s="495">
        <v>2</v>
      </c>
      <c r="H67" s="556"/>
      <c r="I67" s="556"/>
      <c r="J67" s="556"/>
      <c r="K67" s="556"/>
      <c r="L67" s="556"/>
      <c r="M67" s="556"/>
      <c r="N67" s="556"/>
      <c r="O67" s="556"/>
      <c r="P67" s="317">
        <v>2</v>
      </c>
      <c r="Q67" s="314">
        <f t="shared" si="27"/>
        <v>32</v>
      </c>
      <c r="R67" s="317"/>
      <c r="S67" s="317"/>
      <c r="T67" s="314">
        <f t="shared" si="28"/>
        <v>2</v>
      </c>
      <c r="U67" s="611">
        <f t="shared" si="29"/>
        <v>32</v>
      </c>
    </row>
    <row r="68" spans="2:21">
      <c r="B68" s="1111"/>
      <c r="C68" s="1113"/>
      <c r="D68" s="490" t="s">
        <v>947</v>
      </c>
      <c r="E68" s="490" t="s">
        <v>948</v>
      </c>
      <c r="F68" s="317">
        <v>30</v>
      </c>
      <c r="G68" s="495">
        <v>2</v>
      </c>
      <c r="H68" s="556"/>
      <c r="I68" s="556"/>
      <c r="J68" s="556"/>
      <c r="K68" s="556"/>
      <c r="L68" s="556"/>
      <c r="M68" s="556"/>
      <c r="N68" s="556"/>
      <c r="O68" s="556"/>
      <c r="P68" s="317">
        <v>2</v>
      </c>
      <c r="Q68" s="314">
        <f t="shared" si="27"/>
        <v>32</v>
      </c>
      <c r="R68" s="317"/>
      <c r="S68" s="317"/>
      <c r="T68" s="314">
        <f t="shared" si="28"/>
        <v>2</v>
      </c>
      <c r="U68" s="611">
        <f t="shared" si="29"/>
        <v>32</v>
      </c>
    </row>
    <row r="69" spans="2:21" ht="18">
      <c r="B69" s="1111"/>
      <c r="C69" s="1113"/>
      <c r="D69" s="490" t="s">
        <v>949</v>
      </c>
      <c r="E69" s="490" t="s">
        <v>950</v>
      </c>
      <c r="F69" s="317">
        <v>40</v>
      </c>
      <c r="G69" s="495">
        <v>3</v>
      </c>
      <c r="H69" s="556"/>
      <c r="I69" s="556"/>
      <c r="J69" s="556"/>
      <c r="K69" s="556"/>
      <c r="L69" s="556"/>
      <c r="M69" s="556"/>
      <c r="N69" s="556"/>
      <c r="O69" s="556"/>
      <c r="P69" s="317">
        <v>2</v>
      </c>
      <c r="Q69" s="314">
        <f t="shared" si="27"/>
        <v>32</v>
      </c>
      <c r="R69" s="317"/>
      <c r="S69" s="317"/>
      <c r="T69" s="314">
        <f t="shared" si="28"/>
        <v>2</v>
      </c>
      <c r="U69" s="611">
        <f t="shared" si="29"/>
        <v>32</v>
      </c>
    </row>
    <row r="70" spans="2:21">
      <c r="B70" s="1111"/>
      <c r="C70" s="1113"/>
      <c r="D70" s="490" t="s">
        <v>951</v>
      </c>
      <c r="E70" s="490" t="s">
        <v>952</v>
      </c>
      <c r="F70" s="317">
        <v>40</v>
      </c>
      <c r="G70" s="495">
        <v>2</v>
      </c>
      <c r="H70" s="556"/>
      <c r="I70" s="556"/>
      <c r="J70" s="556"/>
      <c r="K70" s="556"/>
      <c r="L70" s="556"/>
      <c r="M70" s="556"/>
      <c r="N70" s="556"/>
      <c r="O70" s="556"/>
      <c r="P70" s="317">
        <v>2</v>
      </c>
      <c r="Q70" s="314">
        <f t="shared" si="27"/>
        <v>32</v>
      </c>
      <c r="R70" s="317"/>
      <c r="S70" s="317"/>
      <c r="T70" s="314">
        <f t="shared" si="28"/>
        <v>2</v>
      </c>
      <c r="U70" s="611">
        <f t="shared" si="29"/>
        <v>32</v>
      </c>
    </row>
    <row r="71" spans="2:21">
      <c r="B71" s="1111"/>
      <c r="C71" s="1113"/>
      <c r="D71" s="565" t="s">
        <v>953</v>
      </c>
      <c r="E71" s="619" t="s">
        <v>954</v>
      </c>
      <c r="F71" s="317">
        <v>50</v>
      </c>
      <c r="G71" s="495">
        <v>3</v>
      </c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317">
        <v>3</v>
      </c>
      <c r="S71" s="317">
        <f>R71*16</f>
        <v>48</v>
      </c>
      <c r="T71" s="314">
        <f t="shared" si="28"/>
        <v>3</v>
      </c>
      <c r="U71" s="611">
        <f t="shared" si="29"/>
        <v>48</v>
      </c>
    </row>
    <row r="72" spans="2:21">
      <c r="B72" s="1111"/>
      <c r="C72" s="1113"/>
      <c r="D72" s="490" t="s">
        <v>955</v>
      </c>
      <c r="E72" s="490" t="s">
        <v>956</v>
      </c>
      <c r="F72" s="317">
        <v>50</v>
      </c>
      <c r="G72" s="495">
        <v>3</v>
      </c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317">
        <v>4</v>
      </c>
      <c r="S72" s="317">
        <f t="shared" ref="S72:S74" si="30">R72*16</f>
        <v>64</v>
      </c>
      <c r="T72" s="314">
        <f t="shared" si="28"/>
        <v>4</v>
      </c>
      <c r="U72" s="611">
        <f t="shared" si="29"/>
        <v>64</v>
      </c>
    </row>
    <row r="73" spans="2:21">
      <c r="B73" s="1111"/>
      <c r="C73" s="1113"/>
      <c r="D73" s="490" t="s">
        <v>957</v>
      </c>
      <c r="E73" s="566" t="s">
        <v>958</v>
      </c>
      <c r="F73" s="317">
        <v>50</v>
      </c>
      <c r="G73" s="495">
        <v>3</v>
      </c>
      <c r="H73" s="556"/>
      <c r="I73" s="556"/>
      <c r="J73" s="556"/>
      <c r="K73" s="556"/>
      <c r="L73" s="556"/>
      <c r="M73" s="556"/>
      <c r="N73" s="556"/>
      <c r="O73" s="556"/>
      <c r="P73" s="556"/>
      <c r="Q73" s="556"/>
      <c r="R73" s="317">
        <v>4</v>
      </c>
      <c r="S73" s="317">
        <f t="shared" si="30"/>
        <v>64</v>
      </c>
      <c r="T73" s="314">
        <f t="shared" si="28"/>
        <v>4</v>
      </c>
      <c r="U73" s="611">
        <f t="shared" si="29"/>
        <v>64</v>
      </c>
    </row>
    <row r="74" spans="2:21">
      <c r="B74" s="1111"/>
      <c r="C74" s="1113"/>
      <c r="D74" s="490" t="s">
        <v>959</v>
      </c>
      <c r="E74" s="567" t="s">
        <v>960</v>
      </c>
      <c r="F74" s="317">
        <v>40</v>
      </c>
      <c r="G74" s="490">
        <v>3</v>
      </c>
      <c r="H74" s="568"/>
      <c r="I74" s="568"/>
      <c r="J74" s="568"/>
      <c r="K74" s="568"/>
      <c r="L74" s="568"/>
      <c r="M74" s="568"/>
      <c r="N74" s="568"/>
      <c r="O74" s="568"/>
      <c r="P74" s="568"/>
      <c r="Q74" s="568"/>
      <c r="R74" s="317">
        <v>3</v>
      </c>
      <c r="S74" s="317">
        <f t="shared" si="30"/>
        <v>48</v>
      </c>
      <c r="T74" s="317">
        <f t="shared" si="28"/>
        <v>3</v>
      </c>
      <c r="U74" s="611">
        <f t="shared" si="29"/>
        <v>48</v>
      </c>
    </row>
    <row r="75" spans="2:21" ht="18" thickBot="1">
      <c r="B75" s="1111"/>
      <c r="C75" s="1113"/>
      <c r="D75" s="1120" t="s">
        <v>16</v>
      </c>
      <c r="E75" s="1121"/>
      <c r="F75" s="569"/>
      <c r="G75" s="559"/>
      <c r="H75" s="560"/>
      <c r="I75" s="560"/>
      <c r="J75" s="560"/>
      <c r="K75" s="560"/>
      <c r="L75" s="560"/>
      <c r="M75" s="560"/>
      <c r="N75" s="560"/>
      <c r="O75" s="560"/>
      <c r="P75" s="560">
        <f>SUM(P65:P70)</f>
        <v>12</v>
      </c>
      <c r="Q75" s="560">
        <f>SUM(Q65:Q70)</f>
        <v>192</v>
      </c>
      <c r="R75" s="560">
        <f>SUM(R71:R74)</f>
        <v>14</v>
      </c>
      <c r="S75" s="560">
        <f>SUM(S71:S74)</f>
        <v>224</v>
      </c>
      <c r="T75" s="570">
        <f>SUM(T65:T74)</f>
        <v>26</v>
      </c>
      <c r="U75" s="571">
        <f>SUM(U65:U74)</f>
        <v>416</v>
      </c>
    </row>
    <row r="76" spans="2:21">
      <c r="B76" s="1122" t="s">
        <v>999</v>
      </c>
      <c r="C76" s="1125">
        <f>T80</f>
        <v>12</v>
      </c>
      <c r="D76" s="572" t="s">
        <v>961</v>
      </c>
      <c r="E76" s="564" t="s">
        <v>962</v>
      </c>
      <c r="F76" s="573">
        <v>50</v>
      </c>
      <c r="G76" s="574">
        <v>2</v>
      </c>
      <c r="H76" s="390"/>
      <c r="I76" s="390"/>
      <c r="J76" s="390"/>
      <c r="K76" s="390"/>
      <c r="L76" s="390"/>
      <c r="M76" s="390"/>
      <c r="N76" s="390"/>
      <c r="O76" s="390"/>
      <c r="P76" s="250">
        <v>4</v>
      </c>
      <c r="Q76" s="602">
        <f>P76*16</f>
        <v>64</v>
      </c>
      <c r="R76" s="250"/>
      <c r="S76" s="250"/>
      <c r="T76" s="575">
        <f>SUM(H76,J76,L76,N76,P76,R76)</f>
        <v>4</v>
      </c>
      <c r="U76" s="576">
        <f>T76*16</f>
        <v>64</v>
      </c>
    </row>
    <row r="77" spans="2:21">
      <c r="B77" s="1123"/>
      <c r="C77" s="1126"/>
      <c r="D77" s="577" t="s">
        <v>963</v>
      </c>
      <c r="E77" s="490" t="s">
        <v>964</v>
      </c>
      <c r="F77" s="578">
        <v>50</v>
      </c>
      <c r="G77" s="579">
        <v>3</v>
      </c>
      <c r="H77" s="394"/>
      <c r="I77" s="394"/>
      <c r="J77" s="394"/>
      <c r="K77" s="394"/>
      <c r="L77" s="394"/>
      <c r="M77" s="394"/>
      <c r="N77" s="394"/>
      <c r="O77" s="394"/>
      <c r="P77" s="257">
        <v>4</v>
      </c>
      <c r="Q77" s="257">
        <f>P77*16</f>
        <v>64</v>
      </c>
      <c r="R77" s="257"/>
      <c r="S77" s="257"/>
      <c r="T77" s="580">
        <f t="shared" ref="T77:T79" si="31">SUM(H77,J77,L77,N77,P77,R77)</f>
        <v>4</v>
      </c>
      <c r="U77" s="581">
        <f t="shared" ref="U77:U79" si="32">T77*16</f>
        <v>64</v>
      </c>
    </row>
    <row r="78" spans="2:21">
      <c r="B78" s="1123"/>
      <c r="C78" s="1126"/>
      <c r="D78" s="577" t="s">
        <v>965</v>
      </c>
      <c r="E78" s="490" t="s">
        <v>966</v>
      </c>
      <c r="F78" s="578">
        <v>40</v>
      </c>
      <c r="G78" s="579">
        <v>3</v>
      </c>
      <c r="H78" s="394"/>
      <c r="I78" s="394"/>
      <c r="J78" s="394"/>
      <c r="K78" s="394"/>
      <c r="L78" s="394"/>
      <c r="M78" s="394"/>
      <c r="N78" s="394"/>
      <c r="O78" s="394"/>
      <c r="P78" s="257"/>
      <c r="Q78" s="257"/>
      <c r="R78" s="257">
        <v>2</v>
      </c>
      <c r="S78" s="257">
        <f>R78*16</f>
        <v>32</v>
      </c>
      <c r="T78" s="580">
        <f t="shared" si="31"/>
        <v>2</v>
      </c>
      <c r="U78" s="581">
        <f t="shared" si="32"/>
        <v>32</v>
      </c>
    </row>
    <row r="79" spans="2:21">
      <c r="B79" s="1123"/>
      <c r="C79" s="1126"/>
      <c r="D79" s="582" t="s">
        <v>967</v>
      </c>
      <c r="E79" s="490" t="s">
        <v>968</v>
      </c>
      <c r="F79" s="578">
        <v>30</v>
      </c>
      <c r="G79" s="579">
        <v>3</v>
      </c>
      <c r="H79" s="394"/>
      <c r="I79" s="394"/>
      <c r="J79" s="394"/>
      <c r="K79" s="394"/>
      <c r="L79" s="394"/>
      <c r="M79" s="394"/>
      <c r="N79" s="394"/>
      <c r="O79" s="394"/>
      <c r="P79" s="257"/>
      <c r="Q79" s="257"/>
      <c r="R79" s="257">
        <v>2</v>
      </c>
      <c r="S79" s="257">
        <f>R79*16</f>
        <v>32</v>
      </c>
      <c r="T79" s="580">
        <f t="shared" si="31"/>
        <v>2</v>
      </c>
      <c r="U79" s="581">
        <f t="shared" si="32"/>
        <v>32</v>
      </c>
    </row>
    <row r="80" spans="2:21" ht="18" thickBot="1">
      <c r="B80" s="1124"/>
      <c r="C80" s="1127"/>
      <c r="D80" s="1128" t="s">
        <v>16</v>
      </c>
      <c r="E80" s="1129"/>
      <c r="F80" s="583"/>
      <c r="G80" s="584"/>
      <c r="H80" s="276"/>
      <c r="I80" s="276"/>
      <c r="J80" s="276"/>
      <c r="K80" s="276"/>
      <c r="L80" s="276"/>
      <c r="M80" s="276"/>
      <c r="N80" s="276"/>
      <c r="O80" s="276"/>
      <c r="P80" s="276">
        <f>SUM(P76:P77)</f>
        <v>8</v>
      </c>
      <c r="Q80" s="276">
        <f>SUM(Q76:Q77)</f>
        <v>128</v>
      </c>
      <c r="R80" s="276">
        <f>SUM(R78:R79)</f>
        <v>4</v>
      </c>
      <c r="S80" s="276">
        <f>SUM(S78:S79)</f>
        <v>64</v>
      </c>
      <c r="T80" s="585">
        <f>SUM(T76:T79)</f>
        <v>12</v>
      </c>
      <c r="U80" s="586">
        <f>SUM(U76:U79)</f>
        <v>192</v>
      </c>
    </row>
    <row r="81" spans="2:21">
      <c r="B81" s="1130" t="s">
        <v>969</v>
      </c>
      <c r="C81" s="1134">
        <f>T89</f>
        <v>26</v>
      </c>
      <c r="D81" s="620" t="s">
        <v>970</v>
      </c>
      <c r="E81" s="621" t="s">
        <v>971</v>
      </c>
      <c r="F81" s="306">
        <v>45</v>
      </c>
      <c r="G81" s="511">
        <v>3</v>
      </c>
      <c r="H81" s="300"/>
      <c r="I81" s="300"/>
      <c r="J81" s="300"/>
      <c r="K81" s="300"/>
      <c r="L81" s="300"/>
      <c r="M81" s="300"/>
      <c r="N81" s="300"/>
      <c r="O81" s="300"/>
      <c r="P81" s="300">
        <v>3</v>
      </c>
      <c r="Q81" s="300">
        <f>P81*16</f>
        <v>48</v>
      </c>
      <c r="R81" s="300"/>
      <c r="S81" s="300"/>
      <c r="T81" s="300">
        <f>SUM(H81,J81,L81,N81,P81,R81)</f>
        <v>3</v>
      </c>
      <c r="U81" s="622">
        <f>T81*16</f>
        <v>48</v>
      </c>
    </row>
    <row r="82" spans="2:21">
      <c r="B82" s="1131"/>
      <c r="C82" s="1135"/>
      <c r="D82" s="587" t="s">
        <v>972</v>
      </c>
      <c r="E82" s="588" t="s">
        <v>973</v>
      </c>
      <c r="F82" s="306">
        <v>45</v>
      </c>
      <c r="G82" s="511">
        <v>3</v>
      </c>
      <c r="H82" s="306"/>
      <c r="I82" s="306"/>
      <c r="J82" s="306"/>
      <c r="K82" s="306"/>
      <c r="L82" s="306"/>
      <c r="M82" s="306"/>
      <c r="N82" s="306"/>
      <c r="O82" s="306"/>
      <c r="P82" s="306">
        <v>4</v>
      </c>
      <c r="Q82" s="306">
        <f t="shared" ref="Q82:Q83" si="33">P82*16</f>
        <v>64</v>
      </c>
      <c r="R82" s="236"/>
      <c r="S82" s="236"/>
      <c r="T82" s="306">
        <f t="shared" ref="T82:T88" si="34">SUM(H82,J82,L82,N82,P82,R82)</f>
        <v>4</v>
      </c>
      <c r="U82" s="623">
        <f t="shared" ref="U82:U88" si="35">T82*16</f>
        <v>64</v>
      </c>
    </row>
    <row r="83" spans="2:21">
      <c r="B83" s="1131"/>
      <c r="C83" s="1135"/>
      <c r="D83" s="587" t="s">
        <v>974</v>
      </c>
      <c r="E83" s="588" t="s">
        <v>975</v>
      </c>
      <c r="F83" s="306">
        <v>50</v>
      </c>
      <c r="G83" s="511">
        <v>3</v>
      </c>
      <c r="H83" s="306"/>
      <c r="I83" s="306"/>
      <c r="J83" s="306"/>
      <c r="K83" s="306"/>
      <c r="L83" s="306"/>
      <c r="M83" s="306"/>
      <c r="N83" s="306"/>
      <c r="O83" s="306"/>
      <c r="P83" s="306">
        <v>5</v>
      </c>
      <c r="Q83" s="306">
        <f t="shared" si="33"/>
        <v>80</v>
      </c>
      <c r="R83" s="306"/>
      <c r="S83" s="306"/>
      <c r="T83" s="306">
        <f t="shared" si="34"/>
        <v>5</v>
      </c>
      <c r="U83" s="623">
        <f t="shared" si="35"/>
        <v>80</v>
      </c>
    </row>
    <row r="84" spans="2:21">
      <c r="B84" s="1131"/>
      <c r="C84" s="1135"/>
      <c r="D84" s="587" t="s">
        <v>976</v>
      </c>
      <c r="E84" s="588" t="s">
        <v>977</v>
      </c>
      <c r="F84" s="306">
        <v>30</v>
      </c>
      <c r="G84" s="511">
        <v>3</v>
      </c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306">
        <v>2</v>
      </c>
      <c r="S84" s="306">
        <f>R84*16</f>
        <v>32</v>
      </c>
      <c r="T84" s="306">
        <f t="shared" si="34"/>
        <v>2</v>
      </c>
      <c r="U84" s="623">
        <f t="shared" si="35"/>
        <v>32</v>
      </c>
    </row>
    <row r="85" spans="2:21">
      <c r="B85" s="1131"/>
      <c r="C85" s="1135"/>
      <c r="D85" s="587" t="s">
        <v>978</v>
      </c>
      <c r="E85" s="588" t="s">
        <v>979</v>
      </c>
      <c r="F85" s="306">
        <v>30</v>
      </c>
      <c r="G85" s="511">
        <v>2</v>
      </c>
      <c r="H85" s="306"/>
      <c r="I85" s="306"/>
      <c r="J85" s="306"/>
      <c r="K85" s="306"/>
      <c r="L85" s="306"/>
      <c r="M85" s="306"/>
      <c r="N85" s="306"/>
      <c r="O85" s="306"/>
      <c r="P85" s="306"/>
      <c r="Q85" s="306"/>
      <c r="R85" s="306">
        <v>2</v>
      </c>
      <c r="S85" s="306">
        <f t="shared" ref="S85:S88" si="36">R85*16</f>
        <v>32</v>
      </c>
      <c r="T85" s="306">
        <f t="shared" si="34"/>
        <v>2</v>
      </c>
      <c r="U85" s="623">
        <f t="shared" si="35"/>
        <v>32</v>
      </c>
    </row>
    <row r="86" spans="2:21">
      <c r="B86" s="1132"/>
      <c r="C86" s="1136"/>
      <c r="D86" s="587" t="s">
        <v>980</v>
      </c>
      <c r="E86" s="588" t="s">
        <v>981</v>
      </c>
      <c r="F86" s="306">
        <v>60</v>
      </c>
      <c r="G86" s="511">
        <v>2</v>
      </c>
      <c r="H86" s="306"/>
      <c r="I86" s="306"/>
      <c r="J86" s="306"/>
      <c r="K86" s="306"/>
      <c r="L86" s="306"/>
      <c r="M86" s="306"/>
      <c r="N86" s="306"/>
      <c r="O86" s="306"/>
      <c r="P86" s="236"/>
      <c r="Q86" s="236"/>
      <c r="R86" s="306">
        <v>4</v>
      </c>
      <c r="S86" s="306">
        <f t="shared" si="36"/>
        <v>64</v>
      </c>
      <c r="T86" s="306">
        <f t="shared" si="34"/>
        <v>4</v>
      </c>
      <c r="U86" s="623">
        <f t="shared" si="35"/>
        <v>64</v>
      </c>
    </row>
    <row r="87" spans="2:21">
      <c r="B87" s="1132"/>
      <c r="C87" s="1136"/>
      <c r="D87" s="587" t="s">
        <v>982</v>
      </c>
      <c r="E87" s="588" t="s">
        <v>983</v>
      </c>
      <c r="F87" s="307">
        <v>50</v>
      </c>
      <c r="G87" s="243">
        <v>3</v>
      </c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>
        <v>4</v>
      </c>
      <c r="S87" s="306">
        <f t="shared" si="36"/>
        <v>64</v>
      </c>
      <c r="T87" s="306">
        <f t="shared" si="34"/>
        <v>4</v>
      </c>
      <c r="U87" s="623">
        <f t="shared" si="35"/>
        <v>64</v>
      </c>
    </row>
    <row r="88" spans="2:21">
      <c r="B88" s="1132"/>
      <c r="C88" s="1136"/>
      <c r="D88" s="587" t="s">
        <v>984</v>
      </c>
      <c r="E88" s="588" t="s">
        <v>985</v>
      </c>
      <c r="F88" s="307">
        <v>45</v>
      </c>
      <c r="G88" s="243">
        <v>4</v>
      </c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>
        <v>2</v>
      </c>
      <c r="S88" s="306">
        <f t="shared" si="36"/>
        <v>32</v>
      </c>
      <c r="T88" s="306">
        <f t="shared" si="34"/>
        <v>2</v>
      </c>
      <c r="U88" s="623">
        <f t="shared" si="35"/>
        <v>32</v>
      </c>
    </row>
    <row r="89" spans="2:21" ht="18" thickBot="1">
      <c r="B89" s="1133"/>
      <c r="C89" s="1137"/>
      <c r="D89" s="1092" t="s">
        <v>16</v>
      </c>
      <c r="E89" s="1091"/>
      <c r="F89" s="315"/>
      <c r="G89" s="501"/>
      <c r="H89" s="315"/>
      <c r="I89" s="315"/>
      <c r="J89" s="315"/>
      <c r="K89" s="315"/>
      <c r="L89" s="315"/>
      <c r="M89" s="315"/>
      <c r="N89" s="315"/>
      <c r="O89" s="315"/>
      <c r="P89" s="315">
        <f>SUM(P81:P88)</f>
        <v>12</v>
      </c>
      <c r="Q89" s="315">
        <f t="shared" ref="Q89:U89" si="37">SUM(Q81:Q88)</f>
        <v>192</v>
      </c>
      <c r="R89" s="315">
        <f t="shared" si="37"/>
        <v>14</v>
      </c>
      <c r="S89" s="315">
        <f t="shared" si="37"/>
        <v>224</v>
      </c>
      <c r="T89" s="315">
        <f t="shared" si="37"/>
        <v>26</v>
      </c>
      <c r="U89" s="504">
        <f t="shared" si="37"/>
        <v>416</v>
      </c>
    </row>
    <row r="90" spans="2:21">
      <c r="B90" s="1110" t="s">
        <v>986</v>
      </c>
      <c r="C90" s="947">
        <f>T94</f>
        <v>12</v>
      </c>
      <c r="D90" s="595" t="s">
        <v>987</v>
      </c>
      <c r="E90" s="596" t="s">
        <v>988</v>
      </c>
      <c r="F90" s="541">
        <v>50</v>
      </c>
      <c r="G90" s="562">
        <v>3</v>
      </c>
      <c r="H90" s="508"/>
      <c r="I90" s="508"/>
      <c r="J90" s="508"/>
      <c r="K90" s="508"/>
      <c r="L90" s="508"/>
      <c r="M90" s="508"/>
      <c r="N90" s="508"/>
      <c r="O90" s="508"/>
      <c r="P90" s="301">
        <v>4</v>
      </c>
      <c r="Q90" s="601">
        <f>P90*16</f>
        <v>64</v>
      </c>
      <c r="R90" s="508"/>
      <c r="S90" s="508"/>
      <c r="T90" s="540">
        <f>SUM(H90,J90,L90,N90,P90,R90)</f>
        <v>4</v>
      </c>
      <c r="U90" s="541">
        <f>T90*16</f>
        <v>64</v>
      </c>
    </row>
    <row r="91" spans="2:21" ht="16.95" customHeight="1">
      <c r="B91" s="1111"/>
      <c r="C91" s="1113"/>
      <c r="D91" s="554" t="s">
        <v>989</v>
      </c>
      <c r="E91" s="597" t="s">
        <v>990</v>
      </c>
      <c r="F91" s="524">
        <v>50</v>
      </c>
      <c r="G91" s="235">
        <v>3</v>
      </c>
      <c r="H91" s="568"/>
      <c r="I91" s="568"/>
      <c r="J91" s="568"/>
      <c r="K91" s="568"/>
      <c r="L91" s="568"/>
      <c r="M91" s="568"/>
      <c r="N91" s="568"/>
      <c r="O91" s="568"/>
      <c r="P91" s="314">
        <v>4</v>
      </c>
      <c r="Q91" s="314">
        <f>P91*16</f>
        <v>64</v>
      </c>
      <c r="R91" s="568"/>
      <c r="S91" s="568"/>
      <c r="T91" s="523">
        <f t="shared" ref="T91:T93" si="38">SUM(H91,J91,L91,N91,P91,R91)</f>
        <v>4</v>
      </c>
      <c r="U91" s="524">
        <f t="shared" ref="U91:U93" si="39">T91*16</f>
        <v>64</v>
      </c>
    </row>
    <row r="92" spans="2:21" ht="16.95" customHeight="1">
      <c r="B92" s="1111"/>
      <c r="C92" s="1113"/>
      <c r="D92" s="406" t="s">
        <v>825</v>
      </c>
      <c r="E92" s="407" t="s">
        <v>826</v>
      </c>
      <c r="F92" s="524"/>
      <c r="G92" s="589"/>
      <c r="H92" s="568"/>
      <c r="I92" s="568"/>
      <c r="J92" s="568"/>
      <c r="K92" s="568"/>
      <c r="L92" s="568"/>
      <c r="M92" s="568"/>
      <c r="N92" s="568"/>
      <c r="O92" s="568"/>
      <c r="P92" s="314"/>
      <c r="Q92" s="314"/>
      <c r="R92" s="314">
        <v>2</v>
      </c>
      <c r="S92" s="314">
        <f>R92*16</f>
        <v>32</v>
      </c>
      <c r="T92" s="523">
        <f t="shared" si="38"/>
        <v>2</v>
      </c>
      <c r="U92" s="524">
        <f t="shared" si="39"/>
        <v>32</v>
      </c>
    </row>
    <row r="93" spans="2:21" ht="16.95" customHeight="1">
      <c r="B93" s="1111"/>
      <c r="C93" s="1113"/>
      <c r="D93" s="406" t="s">
        <v>825</v>
      </c>
      <c r="E93" s="407" t="s">
        <v>826</v>
      </c>
      <c r="F93" s="590"/>
      <c r="G93" s="589"/>
      <c r="H93" s="568"/>
      <c r="I93" s="568"/>
      <c r="J93" s="568"/>
      <c r="K93" s="568"/>
      <c r="L93" s="568"/>
      <c r="M93" s="568"/>
      <c r="N93" s="568"/>
      <c r="O93" s="568"/>
      <c r="P93" s="314"/>
      <c r="Q93" s="314"/>
      <c r="R93" s="373">
        <v>2</v>
      </c>
      <c r="S93" s="314">
        <f>R93*16</f>
        <v>32</v>
      </c>
      <c r="T93" s="523">
        <f t="shared" si="38"/>
        <v>2</v>
      </c>
      <c r="U93" s="524">
        <f t="shared" si="39"/>
        <v>32</v>
      </c>
    </row>
    <row r="94" spans="2:21" ht="18" thickBot="1">
      <c r="B94" s="1112"/>
      <c r="C94" s="1114"/>
      <c r="D94" s="1091" t="s">
        <v>16</v>
      </c>
      <c r="E94" s="1092"/>
      <c r="F94" s="504"/>
      <c r="G94" s="501"/>
      <c r="H94" s="315"/>
      <c r="I94" s="315"/>
      <c r="J94" s="315"/>
      <c r="K94" s="315"/>
      <c r="L94" s="315"/>
      <c r="M94" s="315"/>
      <c r="N94" s="315"/>
      <c r="O94" s="315"/>
      <c r="P94" s="315">
        <f>SUM(P90:P93)</f>
        <v>8</v>
      </c>
      <c r="Q94" s="315">
        <f t="shared" ref="Q94:U94" si="40">SUM(Q90:Q93)</f>
        <v>128</v>
      </c>
      <c r="R94" s="315">
        <f t="shared" si="40"/>
        <v>4</v>
      </c>
      <c r="S94" s="315">
        <f t="shared" si="40"/>
        <v>64</v>
      </c>
      <c r="T94" s="315">
        <f t="shared" si="40"/>
        <v>12</v>
      </c>
      <c r="U94" s="504">
        <f t="shared" si="40"/>
        <v>192</v>
      </c>
    </row>
    <row r="100" spans="5:6">
      <c r="E100"/>
      <c r="F100"/>
    </row>
    <row r="101" spans="5:6">
      <c r="E101"/>
      <c r="F101"/>
    </row>
    <row r="102" spans="5:6">
      <c r="E102"/>
      <c r="F102"/>
    </row>
    <row r="103" spans="5:6">
      <c r="E103"/>
      <c r="F103"/>
    </row>
  </sheetData>
  <mergeCells count="72">
    <mergeCell ref="B90:B94"/>
    <mergeCell ref="C90:C94"/>
    <mergeCell ref="D94:E94"/>
    <mergeCell ref="B76:B80"/>
    <mergeCell ref="C76:C80"/>
    <mergeCell ref="D80:E80"/>
    <mergeCell ref="B81:B89"/>
    <mergeCell ref="C81:C89"/>
    <mergeCell ref="D89:E89"/>
    <mergeCell ref="B60:B64"/>
    <mergeCell ref="C60:C64"/>
    <mergeCell ref="D64:E64"/>
    <mergeCell ref="B65:B75"/>
    <mergeCell ref="C65:C75"/>
    <mergeCell ref="D75:E75"/>
    <mergeCell ref="B48:B50"/>
    <mergeCell ref="C48:C50"/>
    <mergeCell ref="D50:E50"/>
    <mergeCell ref="B51:B59"/>
    <mergeCell ref="C51:C59"/>
    <mergeCell ref="D59:E59"/>
    <mergeCell ref="B38:B42"/>
    <mergeCell ref="C38:C42"/>
    <mergeCell ref="D42:E42"/>
    <mergeCell ref="B43:B47"/>
    <mergeCell ref="C43:C47"/>
    <mergeCell ref="D47:E47"/>
    <mergeCell ref="B29:B32"/>
    <mergeCell ref="C29:C32"/>
    <mergeCell ref="D32:E32"/>
    <mergeCell ref="B33:B37"/>
    <mergeCell ref="C33:C37"/>
    <mergeCell ref="D37:E37"/>
    <mergeCell ref="B18:B23"/>
    <mergeCell ref="C18:C23"/>
    <mergeCell ref="D23:E23"/>
    <mergeCell ref="B24:B28"/>
    <mergeCell ref="C24:C28"/>
    <mergeCell ref="D28:E28"/>
    <mergeCell ref="B9:B13"/>
    <mergeCell ref="C9:C13"/>
    <mergeCell ref="D13:E13"/>
    <mergeCell ref="B14:B17"/>
    <mergeCell ref="C14:C17"/>
    <mergeCell ref="D17:E17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9" type="noConversion"/>
  <pageMargins left="0.70866141732283472" right="0.70866141732283472" top="0.74803149606299213" bottom="0.74803149606299213" header="0.31496062992125984" footer="0.31496062992125984"/>
  <pageSetup paperSize="12" scale="32" orientation="portrait" cellComments="asDisplayed" r:id="rId1"/>
  <ignoredErrors>
    <ignoredError sqref="L28" formulaRange="1"/>
    <ignoredError sqref="O32 T23:U25 T37:U38 T28:U32 T26:T27 T47 T42:U44 R45:U46 R42:S44 R48:U49 R47:S47 U47 U50 T51:U64 T50 T71:T75 T78:T79 T80:U88 T89:U94 U13:U17 U75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203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340</v>
      </c>
      <c r="G2" s="5"/>
      <c r="H2" s="3" t="s">
        <v>74</v>
      </c>
      <c r="I2" s="3" t="s">
        <v>66</v>
      </c>
      <c r="J2" s="3" t="s">
        <v>168</v>
      </c>
      <c r="K2" s="3" t="s">
        <v>168</v>
      </c>
      <c r="L2" s="3" t="s">
        <v>123</v>
      </c>
    </row>
    <row r="3" spans="1:12">
      <c r="A3" s="3" t="s">
        <v>204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340</v>
      </c>
      <c r="G3" s="5"/>
      <c r="H3" s="3" t="s">
        <v>75</v>
      </c>
      <c r="I3" s="3" t="s">
        <v>67</v>
      </c>
      <c r="J3" s="3" t="s">
        <v>169</v>
      </c>
      <c r="K3" s="3" t="s">
        <v>169</v>
      </c>
      <c r="L3" s="3" t="s">
        <v>118</v>
      </c>
    </row>
    <row r="4" spans="1:12">
      <c r="A4" s="3" t="s">
        <v>206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343</v>
      </c>
      <c r="G4" s="5"/>
      <c r="H4" s="3" t="s">
        <v>76</v>
      </c>
      <c r="I4" s="3" t="s">
        <v>158</v>
      </c>
      <c r="J4" s="3" t="s">
        <v>93</v>
      </c>
      <c r="K4" s="3" t="s">
        <v>93</v>
      </c>
      <c r="L4" s="3" t="s">
        <v>119</v>
      </c>
    </row>
    <row r="5" spans="1:12">
      <c r="A5" s="3" t="s">
        <v>207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343</v>
      </c>
      <c r="G5" s="5"/>
      <c r="H5" s="3" t="s">
        <v>77</v>
      </c>
      <c r="I5" s="3" t="s">
        <v>159</v>
      </c>
      <c r="J5" s="3" t="s">
        <v>170</v>
      </c>
      <c r="K5" s="3" t="s">
        <v>170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343</v>
      </c>
      <c r="G6" s="5"/>
      <c r="H6" s="3" t="s">
        <v>78</v>
      </c>
      <c r="I6" s="3" t="s">
        <v>160</v>
      </c>
      <c r="J6" s="3" t="s">
        <v>171</v>
      </c>
      <c r="K6" s="3" t="s">
        <v>171</v>
      </c>
      <c r="L6" s="8"/>
    </row>
    <row r="7" spans="1:12">
      <c r="A7" s="3" t="s">
        <v>208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343</v>
      </c>
      <c r="G7" s="5"/>
      <c r="H7" s="3" t="s">
        <v>79</v>
      </c>
      <c r="I7" s="3" t="s">
        <v>166</v>
      </c>
      <c r="J7" s="3" t="s">
        <v>94</v>
      </c>
      <c r="K7" s="3" t="s">
        <v>94</v>
      </c>
      <c r="L7" s="5"/>
    </row>
    <row r="8" spans="1:12">
      <c r="A8" s="3" t="s">
        <v>209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343</v>
      </c>
      <c r="G8" s="5"/>
      <c r="H8" s="3" t="s">
        <v>80</v>
      </c>
      <c r="I8" s="3" t="s">
        <v>161</v>
      </c>
      <c r="J8" s="3" t="s">
        <v>172</v>
      </c>
      <c r="K8" s="3" t="s">
        <v>172</v>
      </c>
      <c r="L8" s="5"/>
    </row>
    <row r="9" spans="1:12">
      <c r="A9" s="3" t="s">
        <v>210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343</v>
      </c>
      <c r="G9" s="5"/>
      <c r="H9" s="3" t="s">
        <v>81</v>
      </c>
      <c r="I9" s="3" t="s">
        <v>68</v>
      </c>
      <c r="J9" s="3" t="s">
        <v>173</v>
      </c>
      <c r="K9" s="3" t="s">
        <v>173</v>
      </c>
      <c r="L9" s="5"/>
    </row>
    <row r="10" spans="1:12">
      <c r="A10" s="3" t="s">
        <v>211</v>
      </c>
      <c r="B10" s="3" t="s">
        <v>17</v>
      </c>
      <c r="C10" s="3" t="s">
        <v>21</v>
      </c>
      <c r="D10" s="3" t="s">
        <v>214</v>
      </c>
      <c r="E10" s="3">
        <v>4</v>
      </c>
      <c r="F10" s="7" t="s">
        <v>343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212</v>
      </c>
      <c r="B11" s="3" t="s">
        <v>17</v>
      </c>
      <c r="C11" s="3" t="s">
        <v>21</v>
      </c>
      <c r="D11" s="3" t="s">
        <v>214</v>
      </c>
      <c r="E11" s="3">
        <v>4</v>
      </c>
      <c r="F11" s="7" t="s">
        <v>343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213</v>
      </c>
      <c r="B12" s="3" t="s">
        <v>17</v>
      </c>
      <c r="C12" s="3" t="s">
        <v>21</v>
      </c>
      <c r="D12" s="3" t="s">
        <v>214</v>
      </c>
      <c r="E12" s="3">
        <v>4</v>
      </c>
      <c r="F12" s="7" t="s">
        <v>343</v>
      </c>
      <c r="G12" s="5"/>
      <c r="H12" s="3" t="s">
        <v>84</v>
      </c>
      <c r="I12" s="3" t="s">
        <v>162</v>
      </c>
      <c r="J12" s="3" t="s">
        <v>96</v>
      </c>
      <c r="K12" s="3" t="s">
        <v>96</v>
      </c>
      <c r="L12" s="5"/>
    </row>
    <row r="13" spans="1:12">
      <c r="A13" s="3" t="s">
        <v>215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340</v>
      </c>
      <c r="G13" s="5"/>
      <c r="H13" s="3" t="s">
        <v>85</v>
      </c>
      <c r="I13" s="3" t="s">
        <v>71</v>
      </c>
      <c r="J13" s="3" t="s">
        <v>174</v>
      </c>
      <c r="K13" s="3" t="s">
        <v>174</v>
      </c>
      <c r="L13" s="5"/>
    </row>
    <row r="14" spans="1:12">
      <c r="A14" s="3" t="s">
        <v>217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340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218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343</v>
      </c>
      <c r="G15" s="5"/>
      <c r="H15" s="3" t="s">
        <v>87</v>
      </c>
      <c r="I15" s="3" t="s">
        <v>163</v>
      </c>
      <c r="J15" s="3" t="s">
        <v>175</v>
      </c>
      <c r="K15" s="3" t="s">
        <v>175</v>
      </c>
      <c r="L15" s="5"/>
    </row>
    <row r="16" spans="1:12">
      <c r="A16" s="3" t="s">
        <v>219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343</v>
      </c>
      <c r="G16" s="5"/>
      <c r="H16" s="3" t="s">
        <v>88</v>
      </c>
      <c r="I16" s="3" t="s">
        <v>164</v>
      </c>
      <c r="J16" s="3" t="s">
        <v>176</v>
      </c>
      <c r="K16" s="3" t="s">
        <v>176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343</v>
      </c>
      <c r="G17" s="5"/>
      <c r="H17" s="3" t="s">
        <v>89</v>
      </c>
      <c r="I17" s="3" t="s">
        <v>165</v>
      </c>
      <c r="J17" s="3" t="s">
        <v>177</v>
      </c>
      <c r="K17" s="3" t="s">
        <v>177</v>
      </c>
      <c r="L17" s="5"/>
    </row>
    <row r="18" spans="1:12">
      <c r="A18" s="3" t="s">
        <v>220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343</v>
      </c>
      <c r="G18" s="5"/>
      <c r="H18" s="3" t="s">
        <v>90</v>
      </c>
      <c r="I18" s="3" t="s">
        <v>167</v>
      </c>
      <c r="J18" s="3" t="s">
        <v>178</v>
      </c>
      <c r="K18" s="3" t="s">
        <v>178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343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343</v>
      </c>
      <c r="G20" s="5"/>
      <c r="J20" s="3" t="s">
        <v>179</v>
      </c>
      <c r="K20" s="3" t="s">
        <v>179</v>
      </c>
      <c r="L20" s="5"/>
    </row>
    <row r="21" spans="1:12">
      <c r="A21" s="3" t="s">
        <v>221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343</v>
      </c>
      <c r="G21" s="5"/>
      <c r="J21" s="3" t="s">
        <v>98</v>
      </c>
      <c r="K21" s="3" t="s">
        <v>98</v>
      </c>
      <c r="L21" s="5"/>
    </row>
    <row r="22" spans="1:12">
      <c r="A22" s="3" t="s">
        <v>223</v>
      </c>
      <c r="B22" s="3" t="s">
        <v>17</v>
      </c>
      <c r="C22" s="3" t="s">
        <v>5</v>
      </c>
      <c r="D22" s="3" t="s">
        <v>224</v>
      </c>
      <c r="E22" s="3">
        <v>4</v>
      </c>
      <c r="F22" s="7" t="s">
        <v>343</v>
      </c>
      <c r="G22" s="5"/>
      <c r="H22" s="3"/>
      <c r="I22" s="3"/>
      <c r="J22" s="3" t="s">
        <v>180</v>
      </c>
      <c r="K22" s="3" t="s">
        <v>180</v>
      </c>
      <c r="L22" s="5"/>
    </row>
    <row r="23" spans="1:12">
      <c r="A23" s="3" t="s">
        <v>225</v>
      </c>
      <c r="B23" s="3" t="s">
        <v>17</v>
      </c>
      <c r="C23" s="3" t="s">
        <v>5</v>
      </c>
      <c r="D23" s="3" t="s">
        <v>214</v>
      </c>
      <c r="E23" s="3">
        <v>4</v>
      </c>
      <c r="F23" s="7" t="s">
        <v>343</v>
      </c>
      <c r="G23" s="5"/>
      <c r="H23" s="3"/>
      <c r="I23" s="3"/>
      <c r="J23" s="3" t="s">
        <v>181</v>
      </c>
      <c r="K23" s="3" t="s">
        <v>181</v>
      </c>
      <c r="L23" s="5"/>
    </row>
    <row r="24" spans="1:12">
      <c r="A24" s="3" t="s">
        <v>226</v>
      </c>
      <c r="B24" s="3" t="s">
        <v>17</v>
      </c>
      <c r="C24" s="3" t="s">
        <v>5</v>
      </c>
      <c r="D24" s="3" t="s">
        <v>214</v>
      </c>
      <c r="E24" s="3">
        <v>4</v>
      </c>
      <c r="F24" s="7" t="s">
        <v>343</v>
      </c>
      <c r="G24" s="5"/>
      <c r="H24" s="3"/>
      <c r="I24" s="3"/>
      <c r="J24" s="3" t="s">
        <v>182</v>
      </c>
      <c r="K24" s="3" t="s">
        <v>182</v>
      </c>
      <c r="L24" s="5"/>
    </row>
    <row r="25" spans="1:12">
      <c r="A25" s="3" t="s">
        <v>227</v>
      </c>
      <c r="B25" s="3" t="s">
        <v>17</v>
      </c>
      <c r="C25" s="3" t="s">
        <v>5</v>
      </c>
      <c r="D25" s="3" t="s">
        <v>214</v>
      </c>
      <c r="E25" s="3">
        <v>4</v>
      </c>
      <c r="F25" s="7" t="s">
        <v>343</v>
      </c>
      <c r="G25" s="5"/>
      <c r="H25" s="3"/>
      <c r="I25" s="3"/>
      <c r="J25" s="3" t="s">
        <v>183</v>
      </c>
      <c r="K25" s="3" t="s">
        <v>183</v>
      </c>
      <c r="L25" s="5"/>
    </row>
    <row r="26" spans="1:12">
      <c r="A26" s="3" t="s">
        <v>222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340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228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343</v>
      </c>
      <c r="G27" s="5"/>
      <c r="H27" s="5"/>
      <c r="I27" s="5"/>
      <c r="J27" s="3" t="s">
        <v>184</v>
      </c>
      <c r="K27" s="3" t="s">
        <v>184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343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343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343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343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229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343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230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343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231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343</v>
      </c>
      <c r="G34" s="5"/>
      <c r="H34" s="5"/>
      <c r="I34" s="5"/>
      <c r="J34" s="3" t="s">
        <v>185</v>
      </c>
      <c r="K34" s="3" t="s">
        <v>185</v>
      </c>
      <c r="L34" s="5"/>
    </row>
    <row r="35" spans="1:12">
      <c r="A35" s="3" t="s">
        <v>232</v>
      </c>
      <c r="B35" s="3" t="s">
        <v>17</v>
      </c>
      <c r="C35" s="3" t="s">
        <v>6</v>
      </c>
      <c r="D35" s="3" t="s">
        <v>224</v>
      </c>
      <c r="E35" s="3">
        <v>4</v>
      </c>
      <c r="F35" s="7" t="s">
        <v>343</v>
      </c>
      <c r="G35" s="5"/>
      <c r="H35" s="5"/>
      <c r="I35" s="5"/>
      <c r="J35" s="3" t="s">
        <v>186</v>
      </c>
      <c r="K35" s="3" t="s">
        <v>186</v>
      </c>
      <c r="L35" s="5"/>
    </row>
    <row r="36" spans="1:12">
      <c r="A36" s="3" t="s">
        <v>233</v>
      </c>
      <c r="B36" s="3" t="s">
        <v>17</v>
      </c>
      <c r="C36" s="3" t="s">
        <v>6</v>
      </c>
      <c r="D36" s="3" t="s">
        <v>214</v>
      </c>
      <c r="E36" s="3">
        <v>4</v>
      </c>
      <c r="F36" s="7" t="s">
        <v>343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234</v>
      </c>
      <c r="B37" s="3" t="s">
        <v>17</v>
      </c>
      <c r="C37" s="3" t="s">
        <v>6</v>
      </c>
      <c r="D37" s="3" t="s">
        <v>214</v>
      </c>
      <c r="E37" s="3">
        <v>4</v>
      </c>
      <c r="F37" s="7" t="s">
        <v>343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235</v>
      </c>
      <c r="B38" s="3" t="s">
        <v>17</v>
      </c>
      <c r="C38" s="3" t="s">
        <v>6</v>
      </c>
      <c r="D38" s="3" t="s">
        <v>214</v>
      </c>
      <c r="E38" s="3">
        <v>4</v>
      </c>
      <c r="F38" s="7" t="s">
        <v>343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236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361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237</v>
      </c>
      <c r="B40" s="3" t="s">
        <v>17</v>
      </c>
      <c r="C40" s="3" t="s">
        <v>7</v>
      </c>
      <c r="D40" s="3" t="s">
        <v>238</v>
      </c>
      <c r="E40" s="3">
        <v>3</v>
      </c>
      <c r="F40" s="7" t="s">
        <v>361</v>
      </c>
      <c r="G40" s="5"/>
      <c r="H40" s="5"/>
      <c r="I40" s="5"/>
      <c r="J40" s="3" t="s">
        <v>187</v>
      </c>
      <c r="K40" s="3" t="s">
        <v>187</v>
      </c>
      <c r="L40" s="5"/>
    </row>
    <row r="41" spans="1:12" ht="17.25" customHeight="1">
      <c r="A41" s="3" t="s">
        <v>239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340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240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340</v>
      </c>
      <c r="G42" s="5"/>
      <c r="H42" s="5"/>
      <c r="I42" s="5"/>
      <c r="J42" s="3" t="s">
        <v>188</v>
      </c>
      <c r="K42" s="3" t="s">
        <v>188</v>
      </c>
      <c r="L42" s="5"/>
    </row>
    <row r="43" spans="1:12" ht="17.25" customHeight="1">
      <c r="A43" s="3" t="s">
        <v>252</v>
      </c>
      <c r="B43" s="3" t="s">
        <v>17</v>
      </c>
      <c r="C43" s="3" t="s">
        <v>25</v>
      </c>
      <c r="D43" s="3" t="s">
        <v>256</v>
      </c>
      <c r="E43" s="3">
        <v>4</v>
      </c>
      <c r="F43" s="7" t="s">
        <v>343</v>
      </c>
      <c r="G43" s="5"/>
      <c r="H43" s="5"/>
      <c r="I43" s="5"/>
      <c r="J43" s="3" t="s">
        <v>189</v>
      </c>
      <c r="K43" s="3" t="s">
        <v>189</v>
      </c>
      <c r="L43" s="5"/>
    </row>
    <row r="44" spans="1:12" ht="17.25" customHeight="1">
      <c r="A44" s="3" t="s">
        <v>253</v>
      </c>
      <c r="B44" s="3" t="s">
        <v>17</v>
      </c>
      <c r="C44" s="3" t="s">
        <v>25</v>
      </c>
      <c r="D44" s="3" t="s">
        <v>256</v>
      </c>
      <c r="E44" s="3">
        <v>4</v>
      </c>
      <c r="F44" s="7" t="s">
        <v>343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254</v>
      </c>
      <c r="B45" s="3" t="s">
        <v>17</v>
      </c>
      <c r="C45" s="3" t="s">
        <v>25</v>
      </c>
      <c r="D45" s="3" t="s">
        <v>256</v>
      </c>
      <c r="E45" s="3">
        <v>4</v>
      </c>
      <c r="F45" s="7" t="s">
        <v>343</v>
      </c>
      <c r="G45" s="5"/>
      <c r="H45" s="5"/>
      <c r="I45" s="5"/>
      <c r="J45" s="3" t="s">
        <v>190</v>
      </c>
      <c r="K45" s="3" t="s">
        <v>190</v>
      </c>
      <c r="L45" s="5"/>
    </row>
    <row r="46" spans="1:12" ht="17.25" customHeight="1">
      <c r="A46" s="3" t="s">
        <v>255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343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241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343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242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343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243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343</v>
      </c>
      <c r="G49" s="5"/>
      <c r="H49" s="5"/>
      <c r="I49" s="5"/>
      <c r="J49" s="5" t="s">
        <v>191</v>
      </c>
      <c r="K49" s="5" t="s">
        <v>191</v>
      </c>
      <c r="L49" s="5"/>
    </row>
    <row r="50" spans="1:12">
      <c r="A50" s="3" t="s">
        <v>244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343</v>
      </c>
      <c r="G50" s="5"/>
      <c r="H50" s="5"/>
      <c r="I50" s="5"/>
      <c r="J50" s="5" t="s">
        <v>192</v>
      </c>
      <c r="K50" s="5" t="s">
        <v>192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343</v>
      </c>
      <c r="G51" s="5"/>
      <c r="H51" s="5"/>
      <c r="I51" s="5"/>
      <c r="J51" s="5" t="s">
        <v>193</v>
      </c>
      <c r="K51" s="5" t="s">
        <v>193</v>
      </c>
      <c r="L51" s="5"/>
    </row>
    <row r="52" spans="1:12">
      <c r="A52" s="3" t="s">
        <v>245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343</v>
      </c>
      <c r="G52" s="5"/>
      <c r="H52" s="5"/>
      <c r="I52" s="5"/>
      <c r="J52" s="5" t="s">
        <v>194</v>
      </c>
      <c r="K52" s="5" t="s">
        <v>194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343</v>
      </c>
      <c r="G53" s="5"/>
      <c r="H53" s="5"/>
      <c r="I53" s="5"/>
      <c r="J53" s="5" t="s">
        <v>195</v>
      </c>
      <c r="K53" s="5" t="s">
        <v>195</v>
      </c>
      <c r="L53" s="5"/>
    </row>
    <row r="54" spans="1:12">
      <c r="A54" s="3" t="s">
        <v>246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343</v>
      </c>
      <c r="G54" s="5"/>
      <c r="H54" s="5"/>
      <c r="I54" s="5"/>
      <c r="J54" s="5" t="s">
        <v>196</v>
      </c>
      <c r="K54" s="5" t="s">
        <v>196</v>
      </c>
      <c r="L54" s="5"/>
    </row>
    <row r="55" spans="1:12">
      <c r="A55" s="3" t="s">
        <v>247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343</v>
      </c>
      <c r="G55" s="5"/>
      <c r="H55" s="5"/>
      <c r="I55" s="5"/>
      <c r="J55" s="5" t="s">
        <v>198</v>
      </c>
      <c r="K55" s="5" t="s">
        <v>198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214</v>
      </c>
      <c r="E56" s="3">
        <v>4</v>
      </c>
      <c r="F56" s="7" t="s">
        <v>343</v>
      </c>
      <c r="G56" s="5"/>
      <c r="H56" s="5"/>
      <c r="I56" s="5"/>
      <c r="J56" s="5" t="s">
        <v>197</v>
      </c>
      <c r="K56" s="5" t="s">
        <v>197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214</v>
      </c>
      <c r="E57" s="3">
        <v>4</v>
      </c>
      <c r="F57" s="7" t="s">
        <v>343</v>
      </c>
      <c r="G57" s="5"/>
      <c r="H57" s="5"/>
      <c r="I57" s="5"/>
      <c r="J57" s="5" t="s">
        <v>199</v>
      </c>
      <c r="K57" s="5" t="s">
        <v>199</v>
      </c>
      <c r="L57" s="5"/>
    </row>
    <row r="58" spans="1:12">
      <c r="A58" s="3" t="s">
        <v>248</v>
      </c>
      <c r="B58" s="3" t="s">
        <v>17</v>
      </c>
      <c r="C58" s="3" t="s">
        <v>25</v>
      </c>
      <c r="D58" s="3" t="s">
        <v>214</v>
      </c>
      <c r="E58" s="3">
        <v>4</v>
      </c>
      <c r="F58" s="7" t="s">
        <v>343</v>
      </c>
      <c r="G58" s="5"/>
      <c r="H58" s="5"/>
      <c r="I58" s="5"/>
      <c r="J58" s="5" t="s">
        <v>200</v>
      </c>
      <c r="K58" s="5" t="s">
        <v>200</v>
      </c>
      <c r="L58" s="5"/>
    </row>
    <row r="59" spans="1:12">
      <c r="A59" s="3" t="s">
        <v>249</v>
      </c>
      <c r="B59" s="3" t="s">
        <v>17</v>
      </c>
      <c r="C59" s="3" t="s">
        <v>25</v>
      </c>
      <c r="D59" s="3" t="s">
        <v>214</v>
      </c>
      <c r="E59" s="3">
        <v>4</v>
      </c>
      <c r="F59" s="7" t="s">
        <v>343</v>
      </c>
      <c r="G59" s="5"/>
      <c r="H59" s="5"/>
      <c r="I59" s="5"/>
      <c r="J59" s="5" t="s">
        <v>201</v>
      </c>
      <c r="K59" s="5" t="s">
        <v>201</v>
      </c>
      <c r="L59" s="5"/>
    </row>
    <row r="60" spans="1:12">
      <c r="A60" s="3" t="s">
        <v>250</v>
      </c>
      <c r="B60" s="3" t="s">
        <v>17</v>
      </c>
      <c r="C60" s="3" t="s">
        <v>25</v>
      </c>
      <c r="D60" s="3" t="s">
        <v>214</v>
      </c>
      <c r="E60" s="3">
        <v>4</v>
      </c>
      <c r="F60" s="7" t="s">
        <v>343</v>
      </c>
      <c r="G60" s="5"/>
      <c r="H60" s="5"/>
      <c r="I60" s="5"/>
      <c r="J60" s="3"/>
      <c r="K60" s="3"/>
      <c r="L60" s="5"/>
    </row>
    <row r="61" spans="1:12">
      <c r="A61" s="3" t="s">
        <v>251</v>
      </c>
      <c r="B61" s="3" t="s">
        <v>17</v>
      </c>
      <c r="C61" s="3" t="s">
        <v>25</v>
      </c>
      <c r="D61" s="3" t="s">
        <v>214</v>
      </c>
      <c r="E61" s="3">
        <v>4</v>
      </c>
      <c r="F61" s="7" t="s">
        <v>343</v>
      </c>
      <c r="G61" s="5"/>
      <c r="H61" s="5"/>
      <c r="I61" s="5"/>
      <c r="J61" s="3"/>
      <c r="K61" s="3"/>
      <c r="L61" s="5"/>
    </row>
    <row r="62" spans="1:12">
      <c r="A62" s="3" t="s">
        <v>257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340</v>
      </c>
      <c r="G62" s="5"/>
      <c r="H62" s="5"/>
      <c r="I62" s="5"/>
      <c r="L62" s="5"/>
    </row>
    <row r="63" spans="1:12">
      <c r="A63" s="3" t="s">
        <v>258</v>
      </c>
      <c r="B63" s="3" t="s">
        <v>17</v>
      </c>
      <c r="C63" s="3" t="s">
        <v>26</v>
      </c>
      <c r="D63" s="3" t="s">
        <v>238</v>
      </c>
      <c r="E63" s="3">
        <v>4</v>
      </c>
      <c r="F63" s="7" t="s">
        <v>340</v>
      </c>
      <c r="G63" s="5"/>
      <c r="H63" s="5"/>
      <c r="I63" s="5"/>
      <c r="J63" s="3"/>
      <c r="K63" s="3"/>
      <c r="L63" s="5"/>
    </row>
    <row r="64" spans="1:12">
      <c r="A64" s="3" t="s">
        <v>259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340</v>
      </c>
      <c r="G64" s="5"/>
      <c r="H64" s="5"/>
      <c r="I64" s="5"/>
      <c r="L64" s="5"/>
    </row>
    <row r="65" spans="1:12">
      <c r="A65" s="3" t="s">
        <v>260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340</v>
      </c>
      <c r="G65" s="5"/>
      <c r="H65" s="5"/>
      <c r="I65" s="5"/>
      <c r="J65" s="3"/>
      <c r="K65" s="3"/>
      <c r="L65" s="5"/>
    </row>
    <row r="66" spans="1:12">
      <c r="A66" s="3" t="s">
        <v>261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343</v>
      </c>
      <c r="G66" s="5"/>
      <c r="H66" s="5"/>
      <c r="I66" s="5"/>
      <c r="J66" s="3"/>
      <c r="K66" s="3"/>
      <c r="L66" s="5"/>
    </row>
    <row r="67" spans="1:12">
      <c r="A67" s="3" t="s">
        <v>262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343</v>
      </c>
      <c r="G67" s="5"/>
      <c r="H67" s="5"/>
      <c r="I67" s="5"/>
      <c r="J67" s="3"/>
      <c r="K67" s="3"/>
      <c r="L67" s="5"/>
    </row>
    <row r="68" spans="1:12">
      <c r="A68" s="3" t="s">
        <v>263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343</v>
      </c>
      <c r="G68" s="5"/>
      <c r="H68" s="5"/>
      <c r="I68" s="5"/>
      <c r="J68" s="3"/>
      <c r="K68" s="3"/>
      <c r="L68" s="5"/>
    </row>
    <row r="69" spans="1:12">
      <c r="A69" s="3" t="s">
        <v>264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343</v>
      </c>
      <c r="G69" s="5"/>
      <c r="H69" s="5"/>
      <c r="I69" s="5"/>
      <c r="L69" s="5"/>
    </row>
    <row r="70" spans="1:12">
      <c r="A70" s="3" t="s">
        <v>265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343</v>
      </c>
      <c r="G70" s="5"/>
      <c r="H70" s="5"/>
      <c r="I70" s="5"/>
      <c r="L70" s="5"/>
    </row>
    <row r="71" spans="1:12">
      <c r="A71" s="3" t="s">
        <v>266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343</v>
      </c>
      <c r="G71" s="5"/>
      <c r="H71" s="5"/>
      <c r="I71" s="5"/>
      <c r="L71" s="5"/>
    </row>
    <row r="72" spans="1:12">
      <c r="A72" s="3" t="s">
        <v>267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343</v>
      </c>
      <c r="G72" s="5"/>
      <c r="H72" s="5"/>
      <c r="I72" s="5"/>
      <c r="L72" s="5"/>
    </row>
    <row r="73" spans="1:12">
      <c r="A73" s="3" t="s">
        <v>268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343</v>
      </c>
      <c r="G73" s="5"/>
      <c r="H73" s="5"/>
      <c r="I73" s="5"/>
      <c r="L73" s="5"/>
    </row>
    <row r="74" spans="1:12">
      <c r="A74" s="3" t="s">
        <v>269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343</v>
      </c>
      <c r="G74" s="5"/>
      <c r="H74" s="5"/>
      <c r="I74" s="5"/>
      <c r="L74" s="5"/>
    </row>
    <row r="75" spans="1:12">
      <c r="A75" s="3" t="s">
        <v>270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343</v>
      </c>
      <c r="G75" s="5"/>
      <c r="H75" s="5"/>
      <c r="I75" s="5"/>
      <c r="L75" s="5"/>
    </row>
    <row r="76" spans="1:12">
      <c r="A76" s="3" t="s">
        <v>271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343</v>
      </c>
      <c r="G76" s="5"/>
      <c r="H76" s="5"/>
      <c r="I76" s="5"/>
      <c r="L76" s="5"/>
    </row>
    <row r="77" spans="1:12">
      <c r="A77" s="3" t="s">
        <v>272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343</v>
      </c>
      <c r="G77" s="5"/>
      <c r="H77" s="5"/>
      <c r="I77" s="5"/>
      <c r="L77" s="5"/>
    </row>
    <row r="78" spans="1:12">
      <c r="A78" s="3" t="s">
        <v>273</v>
      </c>
      <c r="B78" s="3" t="s">
        <v>17</v>
      </c>
      <c r="C78" s="3" t="s">
        <v>26</v>
      </c>
      <c r="D78" s="3" t="s">
        <v>276</v>
      </c>
      <c r="E78" s="3">
        <v>4</v>
      </c>
      <c r="F78" s="7" t="s">
        <v>343</v>
      </c>
      <c r="G78" s="5"/>
      <c r="H78" s="5"/>
      <c r="I78" s="5"/>
      <c r="L78" s="5"/>
    </row>
    <row r="79" spans="1:12">
      <c r="A79" s="3" t="s">
        <v>274</v>
      </c>
      <c r="B79" s="3" t="s">
        <v>17</v>
      </c>
      <c r="C79" s="3" t="s">
        <v>26</v>
      </c>
      <c r="D79" s="3" t="s">
        <v>214</v>
      </c>
      <c r="E79" s="3">
        <v>4</v>
      </c>
      <c r="F79" s="7" t="s">
        <v>343</v>
      </c>
      <c r="G79" s="5"/>
      <c r="H79" s="5"/>
      <c r="I79" s="5"/>
      <c r="L79" s="5"/>
    </row>
    <row r="80" spans="1:12">
      <c r="A80" s="3" t="s">
        <v>275</v>
      </c>
      <c r="B80" s="3" t="s">
        <v>17</v>
      </c>
      <c r="C80" s="3" t="s">
        <v>26</v>
      </c>
      <c r="D80" s="3" t="s">
        <v>214</v>
      </c>
      <c r="E80" s="3">
        <v>4</v>
      </c>
      <c r="F80" s="7" t="s">
        <v>343</v>
      </c>
      <c r="G80" s="5"/>
      <c r="H80" s="5"/>
      <c r="I80" s="5"/>
      <c r="L80" s="5"/>
    </row>
    <row r="81" spans="1:12">
      <c r="A81" s="3" t="s">
        <v>277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348</v>
      </c>
      <c r="G81" s="5"/>
      <c r="H81" s="5"/>
      <c r="I81" s="5"/>
      <c r="L81" s="5"/>
    </row>
    <row r="82" spans="1:12">
      <c r="A82" s="3" t="s">
        <v>278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348</v>
      </c>
      <c r="G82" s="5"/>
      <c r="H82" s="5"/>
      <c r="I82" s="5"/>
      <c r="L82" s="5"/>
    </row>
    <row r="83" spans="1:12">
      <c r="A83" s="3" t="s">
        <v>279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348</v>
      </c>
      <c r="G83" s="5"/>
      <c r="H83" s="5"/>
      <c r="I83" s="5"/>
      <c r="L83" s="5"/>
    </row>
    <row r="84" spans="1:12">
      <c r="A84" s="3" t="s">
        <v>280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348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350</v>
      </c>
      <c r="G85" s="5"/>
      <c r="H85" s="5"/>
      <c r="I85" s="5"/>
      <c r="J85" s="5"/>
      <c r="K85" s="5"/>
      <c r="L85" s="5"/>
    </row>
    <row r="86" spans="1:12">
      <c r="A86" s="3" t="s">
        <v>281</v>
      </c>
      <c r="B86" s="3" t="s">
        <v>17</v>
      </c>
      <c r="C86" s="3" t="s">
        <v>8</v>
      </c>
      <c r="D86" s="3" t="s">
        <v>214</v>
      </c>
      <c r="E86" s="3">
        <v>3</v>
      </c>
      <c r="F86" s="7" t="s">
        <v>348</v>
      </c>
      <c r="G86" s="5"/>
      <c r="H86" s="5"/>
      <c r="I86" s="5"/>
      <c r="J86" s="5"/>
      <c r="K86" s="5"/>
      <c r="L86" s="5"/>
    </row>
    <row r="87" spans="1:12">
      <c r="A87" s="3" t="s">
        <v>282</v>
      </c>
      <c r="B87" s="3" t="s">
        <v>17</v>
      </c>
      <c r="C87" s="3" t="s">
        <v>8</v>
      </c>
      <c r="D87" s="3" t="s">
        <v>214</v>
      </c>
      <c r="E87" s="3">
        <v>2</v>
      </c>
      <c r="F87" s="7" t="s">
        <v>350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348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348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348</v>
      </c>
      <c r="G90" s="5"/>
      <c r="H90" s="5"/>
      <c r="I90" s="5"/>
      <c r="J90" s="5"/>
      <c r="K90" s="5"/>
      <c r="L90" s="5"/>
    </row>
    <row r="91" spans="1:12">
      <c r="A91" s="3" t="s">
        <v>283</v>
      </c>
      <c r="B91" s="3" t="s">
        <v>17</v>
      </c>
      <c r="C91" s="3" t="s">
        <v>28</v>
      </c>
      <c r="D91" s="3" t="s">
        <v>224</v>
      </c>
      <c r="E91" s="3">
        <v>3</v>
      </c>
      <c r="F91" s="7" t="s">
        <v>348</v>
      </c>
      <c r="G91" s="5"/>
      <c r="H91" s="5"/>
      <c r="I91" s="5"/>
      <c r="J91" s="5"/>
      <c r="K91" s="5"/>
      <c r="L91" s="5"/>
    </row>
    <row r="92" spans="1:12">
      <c r="A92" s="3" t="s">
        <v>284</v>
      </c>
      <c r="B92" s="3" t="s">
        <v>17</v>
      </c>
      <c r="C92" s="3" t="s">
        <v>28</v>
      </c>
      <c r="D92" s="3" t="s">
        <v>224</v>
      </c>
      <c r="E92" s="3">
        <v>3</v>
      </c>
      <c r="F92" s="7" t="s">
        <v>348</v>
      </c>
      <c r="G92" s="5"/>
      <c r="H92" s="5"/>
      <c r="I92" s="5"/>
      <c r="J92" s="5"/>
      <c r="K92" s="5"/>
      <c r="L92" s="5"/>
    </row>
    <row r="93" spans="1:12">
      <c r="A93" s="3" t="s">
        <v>285</v>
      </c>
      <c r="B93" s="3" t="s">
        <v>17</v>
      </c>
      <c r="C93" s="3" t="s">
        <v>28</v>
      </c>
      <c r="D93" s="3" t="s">
        <v>224</v>
      </c>
      <c r="E93" s="3">
        <v>3</v>
      </c>
      <c r="F93" s="7" t="s">
        <v>348</v>
      </c>
      <c r="G93" s="5"/>
      <c r="H93" s="5"/>
      <c r="I93" s="5"/>
      <c r="J93" s="5"/>
      <c r="K93" s="5"/>
      <c r="L93" s="5"/>
    </row>
    <row r="94" spans="1:12">
      <c r="A94" s="3" t="s">
        <v>286</v>
      </c>
      <c r="B94" s="3" t="s">
        <v>17</v>
      </c>
      <c r="C94" s="3" t="s">
        <v>28</v>
      </c>
      <c r="D94" s="3" t="s">
        <v>224</v>
      </c>
      <c r="E94" s="3">
        <v>3</v>
      </c>
      <c r="F94" s="7" t="s">
        <v>348</v>
      </c>
      <c r="G94" s="5"/>
      <c r="H94" s="5"/>
      <c r="I94" s="5"/>
      <c r="J94" s="5"/>
      <c r="K94" s="5"/>
      <c r="L94" s="5"/>
    </row>
    <row r="95" spans="1:12">
      <c r="A95" s="3" t="s">
        <v>287</v>
      </c>
      <c r="B95" s="3" t="s">
        <v>17</v>
      </c>
      <c r="C95" s="3" t="s">
        <v>28</v>
      </c>
      <c r="D95" s="3" t="s">
        <v>214</v>
      </c>
      <c r="E95" s="3">
        <v>3</v>
      </c>
      <c r="F95" s="7" t="s">
        <v>348</v>
      </c>
      <c r="G95" s="5"/>
      <c r="H95" s="5"/>
      <c r="I95" s="5"/>
      <c r="J95" s="5"/>
      <c r="K95" s="5"/>
      <c r="L95" s="5"/>
    </row>
    <row r="96" spans="1:12">
      <c r="A96" s="3" t="s">
        <v>288</v>
      </c>
      <c r="B96" s="3" t="s">
        <v>17</v>
      </c>
      <c r="C96" s="3" t="s">
        <v>28</v>
      </c>
      <c r="D96" s="3" t="s">
        <v>214</v>
      </c>
      <c r="E96" s="3">
        <v>3</v>
      </c>
      <c r="F96" s="7" t="s">
        <v>348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343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343</v>
      </c>
      <c r="G98" s="5"/>
      <c r="H98" s="5"/>
      <c r="I98" s="5"/>
      <c r="J98" s="5"/>
      <c r="K98" s="5"/>
      <c r="L98" s="5"/>
    </row>
    <row r="99" spans="1:12">
      <c r="A99" s="3" t="s">
        <v>289</v>
      </c>
      <c r="B99" s="3" t="s">
        <v>17</v>
      </c>
      <c r="C99" s="3" t="s">
        <v>10</v>
      </c>
      <c r="D99" s="3" t="s">
        <v>224</v>
      </c>
      <c r="E99" s="3">
        <v>4</v>
      </c>
      <c r="F99" s="7" t="s">
        <v>343</v>
      </c>
      <c r="G99" s="5"/>
      <c r="H99" s="5"/>
      <c r="I99" s="5"/>
      <c r="J99" s="5"/>
      <c r="K99" s="5"/>
      <c r="L99" s="5"/>
    </row>
    <row r="100" spans="1:12">
      <c r="A100" s="3" t="s">
        <v>290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343</v>
      </c>
      <c r="G100" s="5"/>
      <c r="H100" s="5"/>
      <c r="I100" s="5"/>
      <c r="J100" s="5"/>
      <c r="K100" s="5"/>
      <c r="L100" s="5"/>
    </row>
    <row r="101" spans="1:12">
      <c r="A101" s="3" t="s">
        <v>291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343</v>
      </c>
      <c r="G101" s="5"/>
      <c r="H101" s="5"/>
      <c r="I101" s="5"/>
      <c r="J101" s="5"/>
      <c r="K101" s="5"/>
      <c r="L101" s="5"/>
    </row>
    <row r="102" spans="1:12">
      <c r="A102" s="3" t="s">
        <v>292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343</v>
      </c>
      <c r="G102" s="5"/>
      <c r="H102" s="5"/>
      <c r="I102" s="5"/>
      <c r="J102" s="5"/>
      <c r="K102" s="5"/>
      <c r="L102" s="5"/>
    </row>
    <row r="103" spans="1:12">
      <c r="A103" s="3" t="s">
        <v>293</v>
      </c>
      <c r="B103" s="3" t="s">
        <v>17</v>
      </c>
      <c r="C103" s="3" t="s">
        <v>10</v>
      </c>
      <c r="D103" s="3" t="s">
        <v>214</v>
      </c>
      <c r="E103" s="3">
        <v>4</v>
      </c>
      <c r="F103" s="7" t="s">
        <v>343</v>
      </c>
      <c r="G103" s="5"/>
      <c r="H103" s="5"/>
      <c r="I103" s="5"/>
      <c r="J103" s="5"/>
      <c r="K103" s="5"/>
      <c r="L103" s="5"/>
    </row>
    <row r="104" spans="1:12">
      <c r="A104" s="3" t="s">
        <v>294</v>
      </c>
      <c r="B104" s="3" t="s">
        <v>17</v>
      </c>
      <c r="C104" s="3" t="s">
        <v>10</v>
      </c>
      <c r="D104" s="3" t="s">
        <v>214</v>
      </c>
      <c r="E104" s="3">
        <v>4</v>
      </c>
      <c r="F104" s="7" t="s">
        <v>343</v>
      </c>
      <c r="G104" s="5"/>
      <c r="H104" s="5"/>
      <c r="I104" s="5"/>
      <c r="J104" s="5"/>
      <c r="K104" s="5"/>
      <c r="L104" s="5"/>
    </row>
    <row r="105" spans="1:12">
      <c r="A105" s="3" t="s">
        <v>295</v>
      </c>
      <c r="B105" s="3" t="s">
        <v>17</v>
      </c>
      <c r="C105" s="3" t="s">
        <v>10</v>
      </c>
      <c r="D105" s="3" t="s">
        <v>214</v>
      </c>
      <c r="E105" s="3">
        <v>4</v>
      </c>
      <c r="F105" s="7" t="s">
        <v>343</v>
      </c>
      <c r="G105" s="5"/>
      <c r="H105" s="5"/>
      <c r="I105" s="5"/>
      <c r="J105" s="5"/>
      <c r="K105" s="5"/>
      <c r="L105" s="5"/>
    </row>
    <row r="106" spans="1:12">
      <c r="A106" s="3" t="s">
        <v>296</v>
      </c>
      <c r="B106" s="3" t="s">
        <v>17</v>
      </c>
      <c r="C106" s="3" t="s">
        <v>10</v>
      </c>
      <c r="D106" s="3" t="s">
        <v>214</v>
      </c>
      <c r="E106" s="3">
        <v>2</v>
      </c>
      <c r="F106" s="7" t="s">
        <v>350</v>
      </c>
      <c r="G106" s="5"/>
      <c r="H106" s="5"/>
      <c r="I106" s="5"/>
      <c r="J106" s="5"/>
      <c r="K106" s="5"/>
      <c r="L106" s="5"/>
    </row>
    <row r="107" spans="1:12">
      <c r="A107" s="3" t="s">
        <v>297</v>
      </c>
      <c r="B107" s="3" t="s">
        <v>17</v>
      </c>
      <c r="C107" s="3" t="s">
        <v>10</v>
      </c>
      <c r="D107" s="3" t="s">
        <v>214</v>
      </c>
      <c r="E107" s="3">
        <v>4</v>
      </c>
      <c r="F107" s="7" t="s">
        <v>343</v>
      </c>
      <c r="G107" s="5"/>
      <c r="H107" s="5"/>
      <c r="I107" s="5"/>
      <c r="J107" s="5"/>
      <c r="K107" s="5"/>
      <c r="L107" s="5"/>
    </row>
    <row r="108" spans="1:12">
      <c r="A108" s="3" t="s">
        <v>298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343</v>
      </c>
      <c r="G108" s="5"/>
      <c r="H108" s="5"/>
      <c r="I108" s="5"/>
      <c r="J108" s="5"/>
      <c r="K108" s="5"/>
      <c r="L108" s="5"/>
    </row>
    <row r="109" spans="1:12">
      <c r="A109" s="3" t="s">
        <v>299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343</v>
      </c>
      <c r="G109" s="5"/>
      <c r="H109" s="5"/>
      <c r="I109" s="5"/>
      <c r="J109" s="5"/>
      <c r="K109" s="5"/>
      <c r="L109" s="5"/>
    </row>
    <row r="110" spans="1:12">
      <c r="A110" s="3" t="s">
        <v>300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343</v>
      </c>
      <c r="G110" s="5"/>
      <c r="H110" s="5"/>
      <c r="I110" s="5"/>
      <c r="J110" s="5"/>
      <c r="K110" s="5"/>
      <c r="L110" s="5"/>
    </row>
    <row r="111" spans="1:12">
      <c r="A111" s="3" t="s">
        <v>301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343</v>
      </c>
      <c r="G111" s="5"/>
      <c r="H111" s="5"/>
      <c r="I111" s="5"/>
      <c r="J111" s="5"/>
      <c r="K111" s="5"/>
      <c r="L111" s="5"/>
    </row>
    <row r="112" spans="1:12">
      <c r="A112" s="3" t="s">
        <v>302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343</v>
      </c>
      <c r="G112" s="5"/>
      <c r="H112" s="5"/>
      <c r="I112" s="5"/>
      <c r="J112" s="5"/>
      <c r="K112" s="5"/>
      <c r="L112" s="5"/>
    </row>
    <row r="113" spans="1:12">
      <c r="A113" s="3" t="s">
        <v>303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343</v>
      </c>
      <c r="G113" s="5"/>
      <c r="H113" s="5"/>
      <c r="I113" s="5"/>
      <c r="J113" s="5"/>
      <c r="K113" s="5"/>
      <c r="L113" s="5"/>
    </row>
    <row r="114" spans="1:12">
      <c r="A114" s="3" t="s">
        <v>304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343</v>
      </c>
      <c r="G114" s="5"/>
      <c r="H114" s="5"/>
      <c r="I114" s="5"/>
      <c r="J114" s="5"/>
      <c r="K114" s="5"/>
      <c r="L114" s="5"/>
    </row>
    <row r="115" spans="1:12">
      <c r="A115" s="3" t="s">
        <v>305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343</v>
      </c>
      <c r="G115" s="5"/>
      <c r="H115" s="5"/>
      <c r="I115" s="5"/>
      <c r="J115" s="5"/>
      <c r="K115" s="5"/>
      <c r="L115" s="5"/>
    </row>
    <row r="116" spans="1:12">
      <c r="A116" s="3" t="s">
        <v>306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343</v>
      </c>
      <c r="G116" s="5"/>
      <c r="H116" s="5"/>
      <c r="I116" s="5"/>
      <c r="J116" s="5"/>
      <c r="K116" s="5"/>
      <c r="L116" s="5"/>
    </row>
    <row r="117" spans="1:12">
      <c r="A117" s="3" t="s">
        <v>307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343</v>
      </c>
      <c r="G117" s="5"/>
      <c r="H117" s="5"/>
      <c r="I117" s="5"/>
      <c r="J117" s="5"/>
      <c r="K117" s="5"/>
      <c r="L117" s="5"/>
    </row>
    <row r="118" spans="1:12">
      <c r="A118" s="3" t="s">
        <v>308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343</v>
      </c>
      <c r="G118" s="5"/>
      <c r="H118" s="5"/>
      <c r="I118" s="5"/>
      <c r="J118" s="5"/>
      <c r="K118" s="5"/>
      <c r="L118" s="5"/>
    </row>
    <row r="119" spans="1:12">
      <c r="A119" s="3" t="s">
        <v>309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343</v>
      </c>
      <c r="G119" s="5"/>
      <c r="H119" s="5"/>
      <c r="I119" s="5"/>
      <c r="J119" s="5"/>
      <c r="K119" s="5"/>
      <c r="L119" s="5"/>
    </row>
    <row r="120" spans="1:12">
      <c r="A120" s="3" t="s">
        <v>310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343</v>
      </c>
      <c r="G120" s="5"/>
      <c r="H120" s="5"/>
      <c r="I120" s="5"/>
      <c r="J120" s="5"/>
      <c r="K120" s="5"/>
      <c r="L120" s="5"/>
    </row>
    <row r="121" spans="1:12">
      <c r="A121" s="3" t="s">
        <v>311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343</v>
      </c>
      <c r="G121" s="5"/>
      <c r="H121" s="5"/>
      <c r="I121" s="5"/>
      <c r="J121" s="5"/>
      <c r="K121" s="5"/>
      <c r="L121" s="5"/>
    </row>
    <row r="122" spans="1:12">
      <c r="A122" s="3" t="s">
        <v>312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343</v>
      </c>
      <c r="G122" s="5"/>
      <c r="H122" s="5"/>
      <c r="I122" s="5"/>
      <c r="J122" s="5"/>
      <c r="K122" s="5"/>
      <c r="L122" s="5"/>
    </row>
    <row r="123" spans="1:12">
      <c r="A123" s="3" t="s">
        <v>313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343</v>
      </c>
      <c r="G123" s="5"/>
      <c r="H123" s="5"/>
      <c r="I123" s="5"/>
      <c r="J123" s="5"/>
      <c r="K123" s="5"/>
      <c r="L123" s="5"/>
    </row>
    <row r="124" spans="1:12">
      <c r="A124" s="3" t="s">
        <v>314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343</v>
      </c>
      <c r="G124" s="5"/>
      <c r="H124" s="5"/>
      <c r="I124" s="5"/>
      <c r="J124" s="5"/>
      <c r="K124" s="5"/>
      <c r="L124" s="5"/>
    </row>
    <row r="125" spans="1:12">
      <c r="A125" s="3" t="s">
        <v>315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343</v>
      </c>
      <c r="G125" s="5"/>
      <c r="H125" s="5"/>
      <c r="I125" s="5"/>
      <c r="J125" s="5"/>
      <c r="K125" s="5"/>
      <c r="L125" s="5"/>
    </row>
    <row r="126" spans="1:12">
      <c r="A126" s="3" t="s">
        <v>317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343</v>
      </c>
      <c r="G126" s="5"/>
      <c r="H126" s="5"/>
      <c r="I126" s="5"/>
      <c r="J126" s="5"/>
      <c r="K126" s="5"/>
      <c r="L126" s="5"/>
    </row>
    <row r="127" spans="1:12">
      <c r="A127" s="3" t="s">
        <v>316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343</v>
      </c>
      <c r="G127" s="5"/>
      <c r="H127" s="5"/>
      <c r="I127" s="5"/>
      <c r="J127" s="5"/>
      <c r="K127" s="5"/>
      <c r="L127" s="5"/>
    </row>
    <row r="128" spans="1:12">
      <c r="A128" s="3" t="s">
        <v>318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343</v>
      </c>
      <c r="G128" s="5"/>
      <c r="H128" s="5"/>
      <c r="I128" s="5"/>
      <c r="J128" s="5"/>
      <c r="K128" s="5"/>
      <c r="L128" s="5"/>
    </row>
    <row r="129" spans="1:12">
      <c r="A129" s="3" t="s">
        <v>319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343</v>
      </c>
      <c r="G129" s="5"/>
      <c r="H129" s="5"/>
      <c r="I129" s="5"/>
      <c r="J129" s="5"/>
      <c r="K129" s="5"/>
      <c r="L129" s="5"/>
    </row>
    <row r="130" spans="1:12">
      <c r="A130" s="3" t="s">
        <v>320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343</v>
      </c>
      <c r="G130" s="5"/>
      <c r="H130" s="5"/>
      <c r="I130" s="5"/>
      <c r="J130" s="5"/>
      <c r="K130" s="5"/>
      <c r="L130" s="5"/>
    </row>
    <row r="131" spans="1:12">
      <c r="A131" s="3" t="s">
        <v>324</v>
      </c>
      <c r="B131" s="3" t="s">
        <v>17</v>
      </c>
      <c r="C131" s="3" t="s">
        <v>30</v>
      </c>
      <c r="D131" s="3" t="s">
        <v>214</v>
      </c>
      <c r="E131" s="3">
        <v>4</v>
      </c>
      <c r="F131" s="7" t="s">
        <v>343</v>
      </c>
      <c r="G131" s="5"/>
      <c r="H131" s="5"/>
      <c r="I131" s="5"/>
      <c r="J131" s="5"/>
      <c r="K131" s="5"/>
      <c r="L131" s="5"/>
    </row>
    <row r="132" spans="1:12">
      <c r="A132" s="3" t="s">
        <v>325</v>
      </c>
      <c r="B132" s="3" t="s">
        <v>17</v>
      </c>
      <c r="C132" s="3" t="s">
        <v>30</v>
      </c>
      <c r="D132" s="3" t="s">
        <v>214</v>
      </c>
      <c r="E132" s="3">
        <v>4</v>
      </c>
      <c r="F132" s="7" t="s">
        <v>343</v>
      </c>
      <c r="G132" s="5"/>
      <c r="H132" s="5"/>
      <c r="I132" s="5"/>
      <c r="J132" s="5"/>
      <c r="K132" s="5"/>
      <c r="L132" s="5"/>
    </row>
    <row r="133" spans="1:12">
      <c r="A133" s="3" t="s">
        <v>326</v>
      </c>
      <c r="B133" s="3" t="s">
        <v>17</v>
      </c>
      <c r="C133" s="3" t="s">
        <v>30</v>
      </c>
      <c r="D133" s="3" t="s">
        <v>214</v>
      </c>
      <c r="E133" s="3">
        <v>4</v>
      </c>
      <c r="F133" s="7" t="s">
        <v>343</v>
      </c>
      <c r="G133" s="5"/>
      <c r="H133" s="5"/>
      <c r="I133" s="5"/>
      <c r="J133" s="5"/>
      <c r="K133" s="5"/>
      <c r="L133" s="5"/>
    </row>
    <row r="134" spans="1:12">
      <c r="A134" s="3" t="s">
        <v>327</v>
      </c>
      <c r="B134" s="3" t="s">
        <v>17</v>
      </c>
      <c r="C134" s="3" t="s">
        <v>30</v>
      </c>
      <c r="D134" s="3" t="s">
        <v>214</v>
      </c>
      <c r="E134" s="3">
        <v>4</v>
      </c>
      <c r="F134" s="7" t="s">
        <v>343</v>
      </c>
      <c r="G134" s="5"/>
      <c r="H134" s="5"/>
      <c r="I134" s="5"/>
      <c r="J134" s="5"/>
      <c r="K134" s="5"/>
      <c r="L134" s="5"/>
    </row>
    <row r="135" spans="1:12">
      <c r="A135" s="3" t="s">
        <v>328</v>
      </c>
      <c r="B135" s="3" t="s">
        <v>17</v>
      </c>
      <c r="C135" s="3" t="s">
        <v>30</v>
      </c>
      <c r="D135" s="3" t="s">
        <v>214</v>
      </c>
      <c r="E135" s="3">
        <v>4</v>
      </c>
      <c r="F135" s="7" t="s">
        <v>343</v>
      </c>
      <c r="G135" s="5"/>
      <c r="H135" s="5"/>
      <c r="I135" s="5"/>
      <c r="J135" s="5"/>
      <c r="K135" s="5"/>
      <c r="L135" s="5"/>
    </row>
    <row r="136" spans="1:12">
      <c r="A136" s="3" t="s">
        <v>329</v>
      </c>
      <c r="B136" s="3" t="s">
        <v>17</v>
      </c>
      <c r="C136" s="3" t="s">
        <v>30</v>
      </c>
      <c r="D136" s="3" t="s">
        <v>214</v>
      </c>
      <c r="E136" s="3">
        <v>4</v>
      </c>
      <c r="F136" s="7" t="s">
        <v>343</v>
      </c>
      <c r="G136" s="5"/>
      <c r="H136" s="5"/>
      <c r="I136" s="5"/>
      <c r="J136" s="5"/>
      <c r="K136" s="5"/>
      <c r="L136" s="5"/>
    </row>
    <row r="137" spans="1:12">
      <c r="A137" s="3" t="s">
        <v>330</v>
      </c>
      <c r="B137" s="3" t="s">
        <v>17</v>
      </c>
      <c r="C137" s="3" t="s">
        <v>30</v>
      </c>
      <c r="D137" s="3" t="s">
        <v>214</v>
      </c>
      <c r="E137" s="3">
        <v>4</v>
      </c>
      <c r="F137" s="7" t="s">
        <v>343</v>
      </c>
      <c r="G137" s="5"/>
      <c r="H137" s="5"/>
      <c r="I137" s="5"/>
      <c r="J137" s="5"/>
      <c r="K137" s="5"/>
      <c r="L137" s="5"/>
    </row>
    <row r="138" spans="1:12">
      <c r="A138" s="3" t="s">
        <v>331</v>
      </c>
      <c r="B138" s="3" t="s">
        <v>17</v>
      </c>
      <c r="C138" s="3" t="s">
        <v>30</v>
      </c>
      <c r="D138" s="3" t="s">
        <v>214</v>
      </c>
      <c r="E138" s="3">
        <v>4</v>
      </c>
      <c r="F138" s="7" t="s">
        <v>343</v>
      </c>
      <c r="G138" s="5"/>
      <c r="H138" s="5"/>
      <c r="I138" s="5"/>
      <c r="J138" s="5"/>
      <c r="K138" s="5"/>
      <c r="L138" s="5"/>
    </row>
    <row r="139" spans="1:12">
      <c r="A139" s="3" t="s">
        <v>322</v>
      </c>
      <c r="B139" s="3" t="s">
        <v>17</v>
      </c>
      <c r="C139" s="3" t="s">
        <v>322</v>
      </c>
      <c r="D139" s="3" t="s">
        <v>256</v>
      </c>
      <c r="E139" s="3">
        <v>4</v>
      </c>
      <c r="F139" s="7" t="s">
        <v>343</v>
      </c>
      <c r="G139" s="5"/>
      <c r="H139" s="5"/>
      <c r="I139" s="5"/>
      <c r="J139" s="5"/>
      <c r="K139" s="5"/>
      <c r="L139" s="5"/>
    </row>
    <row r="140" spans="1:12">
      <c r="A140" s="3" t="s">
        <v>321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343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348</v>
      </c>
      <c r="G141" s="5"/>
      <c r="H141" s="5"/>
      <c r="I141" s="5"/>
      <c r="J141" s="5"/>
      <c r="K141" s="5"/>
      <c r="L141" s="5"/>
    </row>
    <row r="142" spans="1:12">
      <c r="A142" s="3" t="s">
        <v>332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348</v>
      </c>
      <c r="G142" s="5"/>
      <c r="H142" s="5"/>
      <c r="I142" s="5"/>
      <c r="J142" s="5"/>
      <c r="K142" s="5"/>
      <c r="L142" s="5"/>
    </row>
    <row r="143" spans="1:12">
      <c r="A143" s="3" t="s">
        <v>333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348</v>
      </c>
      <c r="G143" s="5"/>
      <c r="H143" s="5"/>
      <c r="I143" s="5"/>
      <c r="J143" s="5"/>
      <c r="K143" s="5"/>
      <c r="L143" s="5"/>
    </row>
    <row r="144" spans="1:12">
      <c r="A144" s="3" t="s">
        <v>334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348</v>
      </c>
      <c r="G144" s="5"/>
      <c r="H144" s="5"/>
      <c r="I144" s="5"/>
      <c r="J144" s="5"/>
      <c r="K144" s="5"/>
      <c r="L144" s="5"/>
    </row>
    <row r="145" spans="1:12">
      <c r="A145" s="3" t="s">
        <v>335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348</v>
      </c>
      <c r="G145" s="5"/>
      <c r="H145" s="5"/>
      <c r="I145" s="5"/>
      <c r="J145" s="5"/>
      <c r="K145" s="5"/>
      <c r="L145" s="5"/>
    </row>
    <row r="146" spans="1:12">
      <c r="A146" s="3" t="s">
        <v>336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348</v>
      </c>
      <c r="G146" s="5"/>
      <c r="H146" s="5"/>
      <c r="I146" s="5"/>
      <c r="J146" s="5"/>
      <c r="K146" s="5"/>
      <c r="L146" s="5"/>
    </row>
    <row r="147" spans="1:12">
      <c r="A147" s="3" t="s">
        <v>337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348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348</v>
      </c>
      <c r="G148" s="5"/>
      <c r="H148" s="5"/>
      <c r="I148" s="5"/>
      <c r="J148" s="5"/>
      <c r="K148" s="5"/>
      <c r="L148" s="5"/>
    </row>
    <row r="149" spans="1:12">
      <c r="A149" s="3" t="s">
        <v>338</v>
      </c>
      <c r="B149" s="3" t="s">
        <v>17</v>
      </c>
      <c r="C149" s="3" t="s">
        <v>32</v>
      </c>
      <c r="D149" s="3" t="s">
        <v>276</v>
      </c>
      <c r="E149" s="3">
        <v>3</v>
      </c>
      <c r="F149" s="7" t="s">
        <v>348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214</v>
      </c>
      <c r="E150" s="3">
        <v>3</v>
      </c>
      <c r="F150" s="7" t="s">
        <v>348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45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76" customWidth="1"/>
    <col min="2" max="2" width="7.5" style="76" customWidth="1"/>
    <col min="3" max="3" width="0.8984375" style="76" customWidth="1"/>
    <col min="4" max="4" width="4" style="76" customWidth="1"/>
    <col min="5" max="5" width="5.8984375" style="76" customWidth="1"/>
    <col min="6" max="6" width="5.59765625" style="76" customWidth="1"/>
    <col min="7" max="7" width="11.19921875" style="76" customWidth="1"/>
    <col min="8" max="8" width="9.09765625" style="76" customWidth="1"/>
    <col min="9" max="9" width="12.69921875" style="76" customWidth="1"/>
    <col min="10" max="10" width="1.3984375" style="76" customWidth="1"/>
    <col min="11" max="11" width="1" style="76" customWidth="1"/>
    <col min="12" max="12" width="10.69921875" style="76" customWidth="1"/>
    <col min="13" max="13" width="10.09765625" style="76" customWidth="1"/>
    <col min="14" max="14" width="16.59765625" style="76" customWidth="1"/>
    <col min="15" max="15" width="8.3984375" style="76" customWidth="1"/>
    <col min="16" max="16" width="9.5" style="76" customWidth="1"/>
    <col min="17" max="17" width="1.19921875" style="76" customWidth="1"/>
    <col min="18" max="18" width="0.5" style="76" customWidth="1"/>
    <col min="19" max="26" width="0" style="76" hidden="1" customWidth="1"/>
    <col min="27" max="16384" width="11" style="76" hidden="1"/>
  </cols>
  <sheetData>
    <row r="1" spans="2:26" ht="15.6"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2:26" ht="36.6" thickBot="1">
      <c r="B2" s="1142" t="s">
        <v>365</v>
      </c>
      <c r="C2" s="1143"/>
      <c r="D2" s="1143"/>
      <c r="E2" s="1143"/>
      <c r="F2" s="1143"/>
      <c r="G2" s="1143"/>
      <c r="H2" s="1143"/>
      <c r="I2" s="1143"/>
      <c r="J2" s="1143"/>
      <c r="K2" s="1143"/>
      <c r="L2" s="1143"/>
      <c r="M2" s="1143"/>
      <c r="N2" s="1143"/>
      <c r="O2" s="1143"/>
      <c r="P2" s="1143"/>
      <c r="Q2" s="1143"/>
      <c r="R2" s="75"/>
      <c r="S2" s="75"/>
      <c r="T2" s="75"/>
      <c r="U2" s="75"/>
      <c r="V2" s="75"/>
      <c r="W2" s="75"/>
      <c r="X2" s="75"/>
      <c r="Y2" s="75"/>
      <c r="Z2" s="75"/>
    </row>
    <row r="3" spans="2:26" ht="24" customHeight="1" thickBot="1">
      <c r="B3" s="77" t="s">
        <v>366</v>
      </c>
      <c r="C3" s="1144" t="s">
        <v>367</v>
      </c>
      <c r="D3" s="1145"/>
      <c r="E3" s="1145"/>
      <c r="F3" s="1145"/>
      <c r="G3" s="1145"/>
      <c r="H3" s="1145"/>
      <c r="I3" s="1145"/>
      <c r="J3" s="1146"/>
      <c r="K3" s="1147" t="s">
        <v>368</v>
      </c>
      <c r="L3" s="1148"/>
      <c r="M3" s="1148"/>
      <c r="N3" s="1148"/>
      <c r="O3" s="1148"/>
      <c r="P3" s="1148"/>
      <c r="Q3" s="1149"/>
      <c r="R3" s="75"/>
      <c r="S3" s="75"/>
      <c r="T3" s="75"/>
      <c r="U3" s="75"/>
      <c r="V3" s="75"/>
      <c r="W3" s="75"/>
      <c r="X3" s="75"/>
      <c r="Y3" s="75"/>
      <c r="Z3" s="75"/>
    </row>
    <row r="4" spans="2:26" ht="15.6">
      <c r="B4" s="1150" t="s">
        <v>369</v>
      </c>
      <c r="C4" s="78" t="s">
        <v>370</v>
      </c>
      <c r="D4" s="79"/>
      <c r="E4" s="79"/>
      <c r="F4" s="79"/>
      <c r="G4" s="79"/>
      <c r="H4" s="79"/>
      <c r="I4" s="79"/>
      <c r="J4" s="80"/>
      <c r="K4" s="81" t="s">
        <v>370</v>
      </c>
      <c r="L4" s="79"/>
      <c r="M4" s="79"/>
      <c r="N4" s="79"/>
      <c r="O4" s="79"/>
      <c r="P4" s="79"/>
      <c r="Q4" s="80"/>
      <c r="R4" s="75"/>
      <c r="S4" s="75"/>
      <c r="T4" s="75"/>
      <c r="U4" s="75"/>
      <c r="V4" s="75"/>
      <c r="W4" s="75"/>
      <c r="X4" s="75"/>
      <c r="Y4" s="75"/>
      <c r="Z4" s="75"/>
    </row>
    <row r="5" spans="2:26" ht="18.75" customHeight="1">
      <c r="B5" s="1151"/>
      <c r="C5" s="82"/>
      <c r="D5" s="1138" t="s">
        <v>371</v>
      </c>
      <c r="E5" s="1139"/>
      <c r="F5" s="1139"/>
      <c r="G5" s="1140"/>
      <c r="H5" s="1141" t="s">
        <v>372</v>
      </c>
      <c r="I5" s="1139"/>
      <c r="J5" s="83"/>
      <c r="K5" s="84"/>
      <c r="L5" s="1138" t="s">
        <v>371</v>
      </c>
      <c r="M5" s="1139"/>
      <c r="N5" s="1140"/>
      <c r="O5" s="1141" t="s">
        <v>373</v>
      </c>
      <c r="P5" s="1139"/>
      <c r="Q5" s="83"/>
      <c r="R5" s="75"/>
      <c r="S5" s="75"/>
      <c r="T5" s="75"/>
      <c r="U5" s="75"/>
      <c r="V5" s="75"/>
      <c r="W5" s="75"/>
      <c r="X5" s="75"/>
      <c r="Y5" s="75"/>
      <c r="Z5" s="75"/>
    </row>
    <row r="6" spans="2:26" ht="18.75" customHeight="1">
      <c r="B6" s="1151"/>
      <c r="C6" s="82"/>
      <c r="D6" s="1138" t="s">
        <v>374</v>
      </c>
      <c r="E6" s="1139"/>
      <c r="F6" s="1139"/>
      <c r="G6" s="1140"/>
      <c r="H6" s="1141" t="s">
        <v>375</v>
      </c>
      <c r="I6" s="1139"/>
      <c r="J6" s="83"/>
      <c r="K6" s="84"/>
      <c r="L6" s="1138" t="s">
        <v>374</v>
      </c>
      <c r="M6" s="1139"/>
      <c r="N6" s="1140"/>
      <c r="O6" s="1141" t="s">
        <v>376</v>
      </c>
      <c r="P6" s="1139"/>
      <c r="Q6" s="83"/>
      <c r="R6" s="75"/>
      <c r="S6" s="75"/>
      <c r="T6" s="75"/>
      <c r="U6" s="75"/>
      <c r="V6" s="75"/>
      <c r="W6" s="75"/>
      <c r="X6" s="75"/>
      <c r="Y6" s="75"/>
      <c r="Z6" s="75"/>
    </row>
    <row r="7" spans="2:26" ht="18.75" customHeight="1">
      <c r="B7" s="1151"/>
      <c r="C7" s="82"/>
      <c r="D7" s="1138" t="s">
        <v>377</v>
      </c>
      <c r="E7" s="1139"/>
      <c r="F7" s="1139"/>
      <c r="G7" s="1140"/>
      <c r="H7" s="1141" t="s">
        <v>378</v>
      </c>
      <c r="I7" s="1139"/>
      <c r="J7" s="83"/>
      <c r="K7" s="84"/>
      <c r="L7" s="1138" t="s">
        <v>377</v>
      </c>
      <c r="M7" s="1139"/>
      <c r="N7" s="1140"/>
      <c r="O7" s="1141" t="s">
        <v>379</v>
      </c>
      <c r="P7" s="1139"/>
      <c r="Q7" s="83"/>
      <c r="R7" s="75"/>
      <c r="S7" s="75"/>
      <c r="T7" s="75"/>
      <c r="U7" s="75"/>
      <c r="V7" s="75"/>
      <c r="W7" s="75"/>
      <c r="X7" s="75"/>
      <c r="Y7" s="75"/>
      <c r="Z7" s="75"/>
    </row>
    <row r="8" spans="2:26" ht="18.75" customHeight="1">
      <c r="B8" s="1151"/>
      <c r="C8" s="82"/>
      <c r="D8" s="1138" t="s">
        <v>380</v>
      </c>
      <c r="E8" s="1139"/>
      <c r="F8" s="1139"/>
      <c r="G8" s="1140"/>
      <c r="H8" s="1141" t="s">
        <v>381</v>
      </c>
      <c r="I8" s="1139"/>
      <c r="J8" s="83"/>
      <c r="K8" s="84"/>
      <c r="L8" s="1138" t="s">
        <v>380</v>
      </c>
      <c r="M8" s="1139"/>
      <c r="N8" s="1140"/>
      <c r="O8" s="1141" t="s">
        <v>381</v>
      </c>
      <c r="P8" s="1139"/>
      <c r="Q8" s="83"/>
      <c r="R8" s="75"/>
      <c r="S8" s="75"/>
      <c r="T8" s="75"/>
      <c r="U8" s="75"/>
      <c r="V8" s="75"/>
      <c r="W8" s="75"/>
      <c r="X8" s="75"/>
      <c r="Y8" s="75"/>
      <c r="Z8" s="75"/>
    </row>
    <row r="9" spans="2:26" ht="8.25" customHeight="1" thickBot="1">
      <c r="B9" s="1152"/>
      <c r="C9" s="85"/>
      <c r="D9" s="86"/>
      <c r="E9" s="86"/>
      <c r="F9" s="86"/>
      <c r="G9" s="86"/>
      <c r="H9" s="86"/>
      <c r="I9" s="86"/>
      <c r="J9" s="87"/>
      <c r="K9" s="88"/>
      <c r="L9" s="86"/>
      <c r="M9" s="86"/>
      <c r="N9" s="86"/>
      <c r="O9" s="86"/>
      <c r="P9" s="86"/>
      <c r="Q9" s="87"/>
      <c r="R9" s="75"/>
      <c r="S9" s="75"/>
      <c r="T9" s="75"/>
      <c r="U9" s="75"/>
      <c r="V9" s="75"/>
      <c r="W9" s="75"/>
      <c r="X9" s="75"/>
      <c r="Y9" s="75"/>
      <c r="Z9" s="75"/>
    </row>
    <row r="10" spans="2:26" ht="6.75" customHeight="1">
      <c r="B10" s="1150" t="s">
        <v>382</v>
      </c>
      <c r="C10" s="78"/>
      <c r="D10" s="79"/>
      <c r="E10" s="79"/>
      <c r="F10" s="79"/>
      <c r="G10" s="79"/>
      <c r="H10" s="79"/>
      <c r="I10" s="79"/>
      <c r="J10" s="80"/>
      <c r="K10" s="81"/>
      <c r="L10" s="79"/>
      <c r="M10" s="79"/>
      <c r="N10" s="79"/>
      <c r="O10" s="79"/>
      <c r="P10" s="79"/>
      <c r="Q10" s="80"/>
      <c r="R10" s="75"/>
      <c r="S10" s="75"/>
      <c r="T10" s="75"/>
      <c r="U10" s="75"/>
      <c r="V10" s="75"/>
      <c r="W10" s="75"/>
      <c r="X10" s="75"/>
      <c r="Y10" s="75"/>
      <c r="Z10" s="75"/>
    </row>
    <row r="11" spans="2:26" ht="16.5" customHeight="1">
      <c r="B11" s="1151"/>
      <c r="C11" s="82"/>
      <c r="D11" s="1138" t="s">
        <v>323</v>
      </c>
      <c r="E11" s="1139"/>
      <c r="F11" s="1139"/>
      <c r="G11" s="1141" t="s">
        <v>383</v>
      </c>
      <c r="H11" s="1139"/>
      <c r="I11" s="1139"/>
      <c r="J11" s="83"/>
      <c r="K11" s="84"/>
      <c r="L11" s="1153" t="s">
        <v>323</v>
      </c>
      <c r="M11" s="1154"/>
      <c r="N11" s="1157" t="s">
        <v>384</v>
      </c>
      <c r="O11" s="1158"/>
      <c r="P11" s="1158"/>
      <c r="Q11" s="83"/>
      <c r="R11" s="75"/>
      <c r="S11" s="75"/>
      <c r="T11" s="75"/>
      <c r="U11" s="75"/>
      <c r="V11" s="75"/>
      <c r="W11" s="75"/>
      <c r="X11" s="75"/>
      <c r="Y11" s="75"/>
      <c r="Z11" s="75"/>
    </row>
    <row r="12" spans="2:26" ht="16.5" customHeight="1">
      <c r="B12" s="1151"/>
      <c r="C12" s="82"/>
      <c r="D12" s="1138" t="s">
        <v>385</v>
      </c>
      <c r="E12" s="1139"/>
      <c r="F12" s="1139"/>
      <c r="G12" s="1141" t="s">
        <v>386</v>
      </c>
      <c r="H12" s="1139"/>
      <c r="I12" s="1139"/>
      <c r="J12" s="83"/>
      <c r="K12" s="84"/>
      <c r="L12" s="1155"/>
      <c r="M12" s="1156"/>
      <c r="N12" s="1159"/>
      <c r="O12" s="1155"/>
      <c r="P12" s="1155"/>
      <c r="Q12" s="83"/>
      <c r="R12" s="75"/>
      <c r="S12" s="75"/>
      <c r="T12" s="75"/>
      <c r="U12" s="75"/>
      <c r="V12" s="75"/>
      <c r="W12" s="75"/>
      <c r="X12" s="75"/>
      <c r="Y12" s="75"/>
      <c r="Z12" s="75"/>
    </row>
    <row r="13" spans="2:26" ht="16.5" customHeight="1">
      <c r="B13" s="1151"/>
      <c r="C13" s="82"/>
      <c r="D13" s="1138" t="s">
        <v>387</v>
      </c>
      <c r="E13" s="1139"/>
      <c r="F13" s="1139"/>
      <c r="G13" s="1141" t="s">
        <v>388</v>
      </c>
      <c r="H13" s="1139"/>
      <c r="I13" s="1139"/>
      <c r="J13" s="83"/>
      <c r="K13" s="84"/>
      <c r="L13" s="1138" t="s">
        <v>389</v>
      </c>
      <c r="M13" s="1140"/>
      <c r="N13" s="1141" t="s">
        <v>388</v>
      </c>
      <c r="O13" s="1139"/>
      <c r="P13" s="1139"/>
      <c r="Q13" s="83"/>
      <c r="R13" s="75"/>
      <c r="S13" s="75"/>
      <c r="T13" s="75"/>
      <c r="U13" s="75"/>
      <c r="V13" s="75"/>
      <c r="W13" s="75"/>
      <c r="X13" s="75"/>
      <c r="Y13" s="75"/>
      <c r="Z13" s="75"/>
    </row>
    <row r="14" spans="2:26" ht="6.75" customHeight="1" thickBot="1">
      <c r="B14" s="1152"/>
      <c r="C14" s="85"/>
      <c r="D14" s="86"/>
      <c r="E14" s="86"/>
      <c r="F14" s="86"/>
      <c r="G14" s="86"/>
      <c r="H14" s="86"/>
      <c r="I14" s="86"/>
      <c r="J14" s="87"/>
      <c r="K14" s="88"/>
      <c r="L14" s="86"/>
      <c r="M14" s="86"/>
      <c r="N14" s="86"/>
      <c r="O14" s="86"/>
      <c r="P14" s="86"/>
      <c r="Q14" s="87"/>
      <c r="R14" s="75"/>
      <c r="S14" s="75"/>
      <c r="T14" s="75"/>
      <c r="U14" s="75"/>
      <c r="V14" s="75"/>
      <c r="W14" s="75"/>
      <c r="X14" s="75"/>
      <c r="Y14" s="75"/>
      <c r="Z14" s="75"/>
    </row>
    <row r="15" spans="2:26" ht="6.75" customHeight="1">
      <c r="B15" s="1150" t="s">
        <v>390</v>
      </c>
      <c r="C15" s="78"/>
      <c r="D15" s="79"/>
      <c r="E15" s="79"/>
      <c r="F15" s="79"/>
      <c r="G15" s="79"/>
      <c r="H15" s="79"/>
      <c r="I15" s="79"/>
      <c r="J15" s="80"/>
      <c r="K15" s="81"/>
      <c r="L15" s="79"/>
      <c r="M15" s="79"/>
      <c r="N15" s="79"/>
      <c r="O15" s="79"/>
      <c r="P15" s="79"/>
      <c r="Q15" s="80"/>
      <c r="R15" s="75"/>
      <c r="S15" s="75"/>
      <c r="T15" s="75"/>
      <c r="U15" s="75"/>
      <c r="V15" s="75"/>
      <c r="W15" s="75"/>
      <c r="X15" s="75"/>
      <c r="Y15" s="75"/>
      <c r="Z15" s="75"/>
    </row>
    <row r="16" spans="2:26" ht="20.25" customHeight="1">
      <c r="B16" s="1151"/>
      <c r="C16" s="82"/>
      <c r="D16" s="1138" t="s">
        <v>391</v>
      </c>
      <c r="E16" s="1139"/>
      <c r="F16" s="1139"/>
      <c r="G16" s="1140"/>
      <c r="H16" s="1141">
        <v>1</v>
      </c>
      <c r="I16" s="1139"/>
      <c r="J16" s="83"/>
      <c r="K16" s="84"/>
      <c r="L16" s="1138" t="s">
        <v>391</v>
      </c>
      <c r="M16" s="1139"/>
      <c r="N16" s="1140"/>
      <c r="O16" s="1141" t="s">
        <v>392</v>
      </c>
      <c r="P16" s="1139"/>
      <c r="Q16" s="83"/>
      <c r="R16" s="75"/>
      <c r="S16" s="75"/>
      <c r="T16" s="75"/>
      <c r="U16" s="75"/>
      <c r="V16" s="75"/>
      <c r="W16" s="75"/>
      <c r="X16" s="75"/>
      <c r="Y16" s="75"/>
      <c r="Z16" s="75"/>
    </row>
    <row r="17" spans="2:26" ht="20.25" customHeight="1">
      <c r="B17" s="1151"/>
      <c r="C17" s="82"/>
      <c r="D17" s="1138" t="s">
        <v>393</v>
      </c>
      <c r="E17" s="1139"/>
      <c r="F17" s="1139"/>
      <c r="G17" s="1140"/>
      <c r="H17" s="1141">
        <v>179</v>
      </c>
      <c r="I17" s="1139"/>
      <c r="J17" s="83"/>
      <c r="K17" s="84"/>
      <c r="L17" s="1138" t="s">
        <v>394</v>
      </c>
      <c r="M17" s="1139"/>
      <c r="N17" s="1140"/>
      <c r="O17" s="1141" t="s">
        <v>395</v>
      </c>
      <c r="P17" s="1139"/>
      <c r="Q17" s="83"/>
      <c r="R17" s="75"/>
      <c r="S17" s="75"/>
      <c r="T17" s="75"/>
      <c r="U17" s="75"/>
      <c r="V17" s="75"/>
      <c r="W17" s="75"/>
      <c r="X17" s="75"/>
      <c r="Y17" s="75"/>
      <c r="Z17" s="75"/>
    </row>
    <row r="18" spans="2:26" ht="20.25" customHeight="1">
      <c r="B18" s="1151"/>
      <c r="C18" s="82"/>
      <c r="D18" s="1138" t="s">
        <v>396</v>
      </c>
      <c r="E18" s="1139"/>
      <c r="F18" s="1139"/>
      <c r="G18" s="1140"/>
      <c r="H18" s="1141">
        <v>368</v>
      </c>
      <c r="I18" s="1139"/>
      <c r="J18" s="83"/>
      <c r="K18" s="84"/>
      <c r="L18" s="1138" t="s">
        <v>397</v>
      </c>
      <c r="M18" s="1139"/>
      <c r="N18" s="1140"/>
      <c r="O18" s="1141" t="s">
        <v>398</v>
      </c>
      <c r="P18" s="1139"/>
      <c r="Q18" s="83"/>
      <c r="R18" s="75"/>
      <c r="S18" s="75"/>
      <c r="T18" s="75"/>
      <c r="U18" s="75"/>
      <c r="V18" s="75"/>
      <c r="W18" s="75"/>
      <c r="X18" s="75"/>
      <c r="Y18" s="75"/>
      <c r="Z18" s="75"/>
    </row>
    <row r="19" spans="2:26" ht="20.25" customHeight="1">
      <c r="B19" s="1151"/>
      <c r="C19" s="82"/>
      <c r="D19" s="1138" t="s">
        <v>399</v>
      </c>
      <c r="E19" s="1139"/>
      <c r="F19" s="1139"/>
      <c r="G19" s="1140"/>
      <c r="H19" s="1141">
        <v>548</v>
      </c>
      <c r="I19" s="1139"/>
      <c r="J19" s="83"/>
      <c r="K19" s="84"/>
      <c r="L19" s="1138" t="s">
        <v>399</v>
      </c>
      <c r="M19" s="1139"/>
      <c r="N19" s="1140"/>
      <c r="O19" s="1141" t="s">
        <v>400</v>
      </c>
      <c r="P19" s="1139"/>
      <c r="Q19" s="83"/>
      <c r="R19" s="75"/>
      <c r="S19" s="75"/>
      <c r="T19" s="75"/>
      <c r="U19" s="75"/>
      <c r="V19" s="75"/>
      <c r="W19" s="75"/>
      <c r="X19" s="75"/>
      <c r="Y19" s="75"/>
      <c r="Z19" s="75"/>
    </row>
    <row r="20" spans="2:26" ht="5.25" customHeight="1" thickBot="1">
      <c r="B20" s="1152"/>
      <c r="C20" s="85"/>
      <c r="D20" s="86"/>
      <c r="E20" s="86"/>
      <c r="F20" s="86"/>
      <c r="G20" s="86"/>
      <c r="H20" s="86"/>
      <c r="I20" s="86"/>
      <c r="J20" s="87"/>
      <c r="K20" s="88"/>
      <c r="L20" s="86"/>
      <c r="M20" s="86"/>
      <c r="N20" s="86"/>
      <c r="O20" s="86"/>
      <c r="P20" s="86"/>
      <c r="Q20" s="87"/>
      <c r="R20" s="75"/>
      <c r="S20" s="75"/>
      <c r="T20" s="75"/>
      <c r="U20" s="75"/>
      <c r="V20" s="75"/>
      <c r="W20" s="75"/>
      <c r="X20" s="75"/>
      <c r="Y20" s="75"/>
      <c r="Z20" s="75"/>
    </row>
    <row r="21" spans="2:26" ht="5.25" customHeight="1">
      <c r="B21" s="1150" t="s">
        <v>401</v>
      </c>
      <c r="C21" s="78"/>
      <c r="D21" s="79"/>
      <c r="E21" s="79"/>
      <c r="F21" s="79"/>
      <c r="G21" s="79"/>
      <c r="H21" s="79"/>
      <c r="I21" s="79"/>
      <c r="J21" s="80"/>
      <c r="K21" s="81"/>
      <c r="L21" s="79"/>
      <c r="M21" s="79"/>
      <c r="N21" s="79"/>
      <c r="O21" s="79"/>
      <c r="P21" s="79"/>
      <c r="Q21" s="80"/>
      <c r="R21" s="75"/>
      <c r="S21" s="75"/>
      <c r="T21" s="75"/>
      <c r="U21" s="75"/>
      <c r="V21" s="75"/>
      <c r="W21" s="75"/>
      <c r="X21" s="75"/>
      <c r="Y21" s="75"/>
      <c r="Z21" s="75"/>
    </row>
    <row r="22" spans="2:26" ht="31.8" thickBot="1">
      <c r="B22" s="1151"/>
      <c r="C22" s="82"/>
      <c r="D22" s="89"/>
      <c r="E22" s="90"/>
      <c r="F22" s="91" t="s">
        <v>402</v>
      </c>
      <c r="G22" s="91" t="s">
        <v>403</v>
      </c>
      <c r="H22" s="91" t="s">
        <v>404</v>
      </c>
      <c r="I22" s="92" t="s">
        <v>405</v>
      </c>
      <c r="J22" s="93"/>
      <c r="K22" s="94"/>
      <c r="L22" s="89"/>
      <c r="M22" s="91" t="s">
        <v>403</v>
      </c>
      <c r="N22" s="91" t="s">
        <v>406</v>
      </c>
      <c r="O22" s="1160" t="s">
        <v>405</v>
      </c>
      <c r="P22" s="1161"/>
      <c r="Q22" s="83"/>
      <c r="R22" s="75"/>
      <c r="S22" s="75"/>
      <c r="T22" s="75"/>
      <c r="U22" s="75"/>
      <c r="V22" s="75"/>
      <c r="W22" s="75"/>
      <c r="X22" s="75"/>
      <c r="Y22" s="75"/>
      <c r="Z22" s="75"/>
    </row>
    <row r="23" spans="2:26" ht="16.2" thickTop="1">
      <c r="B23" s="1151"/>
      <c r="C23" s="82"/>
      <c r="D23" s="1162" t="s">
        <v>403</v>
      </c>
      <c r="E23" s="1164" t="s">
        <v>407</v>
      </c>
      <c r="F23" s="1164" t="s">
        <v>408</v>
      </c>
      <c r="G23" s="95" t="s">
        <v>409</v>
      </c>
      <c r="H23" s="95" t="s">
        <v>410</v>
      </c>
      <c r="I23" s="1167">
        <v>24</v>
      </c>
      <c r="J23" s="93"/>
      <c r="K23" s="94"/>
      <c r="L23" s="1162" t="s">
        <v>411</v>
      </c>
      <c r="M23" s="96" t="s">
        <v>409</v>
      </c>
      <c r="N23" s="96" t="s">
        <v>412</v>
      </c>
      <c r="O23" s="1167">
        <v>24</v>
      </c>
      <c r="P23" s="1175"/>
      <c r="Q23" s="83"/>
      <c r="R23" s="75"/>
      <c r="S23" s="75"/>
      <c r="T23" s="75"/>
      <c r="U23" s="75"/>
      <c r="V23" s="75"/>
      <c r="W23" s="75"/>
      <c r="X23" s="75"/>
      <c r="Y23" s="75"/>
      <c r="Z23" s="75"/>
    </row>
    <row r="24" spans="2:26" ht="15.6">
      <c r="B24" s="1151"/>
      <c r="C24" s="82"/>
      <c r="D24" s="1163"/>
      <c r="E24" s="1165"/>
      <c r="F24" s="1165"/>
      <c r="G24" s="97" t="s">
        <v>413</v>
      </c>
      <c r="H24" s="97" t="s">
        <v>414</v>
      </c>
      <c r="I24" s="1168"/>
      <c r="J24" s="93"/>
      <c r="K24" s="94"/>
      <c r="L24" s="1163"/>
      <c r="M24" s="98" t="s">
        <v>413</v>
      </c>
      <c r="N24" s="98" t="s">
        <v>415</v>
      </c>
      <c r="O24" s="1168"/>
      <c r="P24" s="1176"/>
      <c r="Q24" s="83"/>
      <c r="R24" s="75"/>
      <c r="S24" s="75"/>
      <c r="T24" s="75"/>
      <c r="U24" s="75"/>
      <c r="V24" s="75"/>
      <c r="W24" s="75"/>
      <c r="X24" s="75"/>
      <c r="Y24" s="75"/>
      <c r="Z24" s="75"/>
    </row>
    <row r="25" spans="2:26" ht="15.6">
      <c r="B25" s="1151"/>
      <c r="C25" s="82"/>
      <c r="D25" s="1163"/>
      <c r="E25" s="1165"/>
      <c r="F25" s="1165"/>
      <c r="G25" s="97" t="s">
        <v>416</v>
      </c>
      <c r="H25" s="97" t="s">
        <v>417</v>
      </c>
      <c r="I25" s="1169"/>
      <c r="J25" s="93"/>
      <c r="K25" s="94"/>
      <c r="L25" s="1163"/>
      <c r="M25" s="98" t="s">
        <v>416</v>
      </c>
      <c r="N25" s="98" t="s">
        <v>418</v>
      </c>
      <c r="O25" s="1159"/>
      <c r="P25" s="1155"/>
      <c r="Q25" s="83"/>
      <c r="R25" s="75"/>
      <c r="S25" s="75"/>
      <c r="T25" s="75"/>
      <c r="U25" s="75"/>
      <c r="V25" s="75"/>
      <c r="W25" s="75"/>
      <c r="X25" s="75"/>
      <c r="Y25" s="75"/>
      <c r="Z25" s="75"/>
    </row>
    <row r="26" spans="2:26" ht="15.6">
      <c r="B26" s="1151"/>
      <c r="C26" s="82"/>
      <c r="D26" s="1163"/>
      <c r="E26" s="1165"/>
      <c r="F26" s="1166"/>
      <c r="G26" s="99" t="s">
        <v>419</v>
      </c>
      <c r="H26" s="99" t="s">
        <v>420</v>
      </c>
      <c r="I26" s="100">
        <v>6</v>
      </c>
      <c r="J26" s="93"/>
      <c r="K26" s="94"/>
      <c r="L26" s="1163"/>
      <c r="M26" s="1177" t="s">
        <v>421</v>
      </c>
      <c r="N26" s="101" t="s">
        <v>422</v>
      </c>
      <c r="O26" s="1178">
        <v>6</v>
      </c>
      <c r="P26" s="1179"/>
      <c r="Q26" s="83"/>
      <c r="R26" s="75"/>
      <c r="S26" s="75"/>
      <c r="T26" s="75"/>
      <c r="U26" s="75"/>
      <c r="V26" s="75"/>
      <c r="W26" s="75"/>
      <c r="X26" s="75"/>
      <c r="Y26" s="75"/>
      <c r="Z26" s="75"/>
    </row>
    <row r="27" spans="2:26" ht="46.8">
      <c r="B27" s="1151"/>
      <c r="C27" s="82"/>
      <c r="D27" s="1163"/>
      <c r="E27" s="1165"/>
      <c r="F27" s="1177" t="s">
        <v>423</v>
      </c>
      <c r="G27" s="101" t="s">
        <v>421</v>
      </c>
      <c r="H27" s="101" t="s">
        <v>424</v>
      </c>
      <c r="I27" s="1180">
        <v>12</v>
      </c>
      <c r="J27" s="93"/>
      <c r="K27" s="94"/>
      <c r="L27" s="1163"/>
      <c r="M27" s="1166"/>
      <c r="N27" s="99" t="s">
        <v>425</v>
      </c>
      <c r="O27" s="1181">
        <v>12</v>
      </c>
      <c r="P27" s="1182"/>
      <c r="Q27" s="83"/>
      <c r="R27" s="75"/>
      <c r="S27" s="75"/>
      <c r="T27" s="75"/>
      <c r="U27" s="75"/>
      <c r="V27" s="75"/>
      <c r="W27" s="75"/>
      <c r="X27" s="75"/>
      <c r="Y27" s="75"/>
      <c r="Z27" s="75"/>
    </row>
    <row r="28" spans="2:26" ht="31.2">
      <c r="B28" s="1151"/>
      <c r="C28" s="82"/>
      <c r="D28" s="1163"/>
      <c r="E28" s="1165"/>
      <c r="F28" s="1166"/>
      <c r="G28" s="99" t="s">
        <v>426</v>
      </c>
      <c r="H28" s="99" t="s">
        <v>427</v>
      </c>
      <c r="I28" s="1159"/>
      <c r="J28" s="93"/>
      <c r="K28" s="94"/>
      <c r="L28" s="1163"/>
      <c r="M28" s="98" t="s">
        <v>426</v>
      </c>
      <c r="N28" s="98" t="s">
        <v>428</v>
      </c>
      <c r="O28" s="1159"/>
      <c r="P28" s="1155"/>
      <c r="Q28" s="83"/>
      <c r="R28" s="75"/>
      <c r="S28" s="75"/>
      <c r="T28" s="75"/>
      <c r="U28" s="75"/>
      <c r="V28" s="75"/>
      <c r="W28" s="75"/>
      <c r="X28" s="75"/>
      <c r="Y28" s="75"/>
      <c r="Z28" s="75"/>
    </row>
    <row r="29" spans="2:26" ht="15.6">
      <c r="B29" s="1151"/>
      <c r="C29" s="82"/>
      <c r="D29" s="1163"/>
      <c r="E29" s="1165"/>
      <c r="F29" s="1177" t="s">
        <v>429</v>
      </c>
      <c r="G29" s="101" t="s">
        <v>430</v>
      </c>
      <c r="H29" s="102"/>
      <c r="I29" s="103">
        <v>8</v>
      </c>
      <c r="J29" s="93"/>
      <c r="K29" s="94"/>
      <c r="L29" s="1163"/>
      <c r="M29" s="98" t="s">
        <v>430</v>
      </c>
      <c r="N29" s="104"/>
      <c r="O29" s="1172">
        <v>8</v>
      </c>
      <c r="P29" s="1139"/>
      <c r="Q29" s="83"/>
      <c r="R29" s="75"/>
      <c r="S29" s="75"/>
      <c r="T29" s="75"/>
      <c r="U29" s="75"/>
      <c r="V29" s="75"/>
      <c r="W29" s="75"/>
      <c r="X29" s="75"/>
      <c r="Y29" s="75"/>
      <c r="Z29" s="75"/>
    </row>
    <row r="30" spans="2:26" ht="15.6">
      <c r="B30" s="1151"/>
      <c r="C30" s="82"/>
      <c r="D30" s="1163"/>
      <c r="E30" s="1165"/>
      <c r="F30" s="1166"/>
      <c r="G30" s="99" t="s">
        <v>431</v>
      </c>
      <c r="H30" s="105"/>
      <c r="I30" s="100">
        <v>6</v>
      </c>
      <c r="J30" s="93"/>
      <c r="K30" s="94"/>
      <c r="L30" s="1163"/>
      <c r="M30" s="98" t="s">
        <v>431</v>
      </c>
      <c r="N30" s="104"/>
      <c r="O30" s="1172">
        <v>6</v>
      </c>
      <c r="P30" s="1139"/>
      <c r="Q30" s="83"/>
      <c r="R30" s="75"/>
      <c r="S30" s="75"/>
      <c r="T30" s="75"/>
      <c r="U30" s="75"/>
      <c r="V30" s="75"/>
      <c r="W30" s="75"/>
      <c r="X30" s="75"/>
      <c r="Y30" s="75"/>
      <c r="Z30" s="75"/>
    </row>
    <row r="31" spans="2:26" ht="62.4">
      <c r="B31" s="1151"/>
      <c r="C31" s="82"/>
      <c r="D31" s="1163"/>
      <c r="E31" s="1165"/>
      <c r="F31" s="98" t="s">
        <v>432</v>
      </c>
      <c r="G31" s="98" t="s">
        <v>433</v>
      </c>
      <c r="H31" s="104"/>
      <c r="I31" s="106">
        <v>10</v>
      </c>
      <c r="J31" s="93"/>
      <c r="K31" s="94"/>
      <c r="L31" s="1163"/>
      <c r="M31" s="98" t="s">
        <v>434</v>
      </c>
      <c r="N31" s="104"/>
      <c r="O31" s="1172">
        <v>8</v>
      </c>
      <c r="P31" s="1139"/>
      <c r="Q31" s="83"/>
      <c r="R31" s="75"/>
      <c r="S31" s="75"/>
      <c r="T31" s="75"/>
      <c r="U31" s="75"/>
      <c r="V31" s="75"/>
      <c r="W31" s="75"/>
      <c r="X31" s="75"/>
      <c r="Y31" s="75"/>
      <c r="Z31" s="75"/>
    </row>
    <row r="32" spans="2:26" ht="18.75" customHeight="1">
      <c r="B32" s="1151"/>
      <c r="C32" s="82"/>
      <c r="D32" s="1163"/>
      <c r="E32" s="1166"/>
      <c r="F32" s="1173" t="s">
        <v>399</v>
      </c>
      <c r="G32" s="1139"/>
      <c r="H32" s="1140"/>
      <c r="I32" s="107">
        <v>66</v>
      </c>
      <c r="J32" s="93"/>
      <c r="K32" s="94"/>
      <c r="L32" s="1156"/>
      <c r="M32" s="1173" t="s">
        <v>399</v>
      </c>
      <c r="N32" s="1140"/>
      <c r="O32" s="1174">
        <v>64</v>
      </c>
      <c r="P32" s="1139"/>
      <c r="Q32" s="83"/>
      <c r="R32" s="75"/>
      <c r="S32" s="75"/>
      <c r="T32" s="75"/>
      <c r="U32" s="75"/>
      <c r="V32" s="75"/>
      <c r="W32" s="75"/>
      <c r="X32" s="75"/>
      <c r="Y32" s="75"/>
      <c r="Z32" s="75"/>
    </row>
    <row r="33" spans="2:26" ht="35.25" customHeight="1">
      <c r="B33" s="1151"/>
      <c r="C33" s="82"/>
      <c r="D33" s="1156"/>
      <c r="E33" s="108" t="s">
        <v>435</v>
      </c>
      <c r="F33" s="1173" t="s">
        <v>436</v>
      </c>
      <c r="G33" s="1139"/>
      <c r="H33" s="1140"/>
      <c r="I33" s="107">
        <v>86</v>
      </c>
      <c r="J33" s="93"/>
      <c r="K33" s="94"/>
      <c r="L33" s="109" t="s">
        <v>437</v>
      </c>
      <c r="M33" s="1173" t="s">
        <v>438</v>
      </c>
      <c r="N33" s="1140"/>
      <c r="O33" s="1174">
        <v>80</v>
      </c>
      <c r="P33" s="1139"/>
      <c r="Q33" s="83"/>
      <c r="R33" s="75"/>
      <c r="S33" s="75"/>
      <c r="T33" s="75"/>
      <c r="U33" s="75"/>
      <c r="V33" s="75"/>
      <c r="W33" s="75"/>
      <c r="X33" s="75"/>
      <c r="Y33" s="75"/>
      <c r="Z33" s="75"/>
    </row>
    <row r="34" spans="2:26" ht="21.75" customHeight="1">
      <c r="B34" s="1151"/>
      <c r="C34" s="82"/>
      <c r="D34" s="1170" t="s">
        <v>377</v>
      </c>
      <c r="E34" s="1139"/>
      <c r="F34" s="1139"/>
      <c r="G34" s="1139"/>
      <c r="H34" s="1140"/>
      <c r="I34" s="110">
        <v>22</v>
      </c>
      <c r="J34" s="93"/>
      <c r="K34" s="94"/>
      <c r="L34" s="1170" t="s">
        <v>377</v>
      </c>
      <c r="M34" s="1139"/>
      <c r="N34" s="1140"/>
      <c r="O34" s="1171">
        <v>30</v>
      </c>
      <c r="P34" s="1139"/>
      <c r="Q34" s="83"/>
      <c r="R34" s="75"/>
      <c r="S34" s="75"/>
      <c r="T34" s="75"/>
      <c r="U34" s="75"/>
      <c r="V34" s="75"/>
      <c r="W34" s="75"/>
      <c r="X34" s="75"/>
      <c r="Y34" s="75"/>
      <c r="Z34" s="75"/>
    </row>
    <row r="35" spans="2:26" ht="24" customHeight="1">
      <c r="B35" s="1151"/>
      <c r="C35" s="82"/>
      <c r="D35" s="1170" t="s">
        <v>380</v>
      </c>
      <c r="E35" s="1139"/>
      <c r="F35" s="1139"/>
      <c r="G35" s="1139"/>
      <c r="H35" s="1140"/>
      <c r="I35" s="110">
        <v>18</v>
      </c>
      <c r="J35" s="93"/>
      <c r="K35" s="94"/>
      <c r="L35" s="1170" t="s">
        <v>380</v>
      </c>
      <c r="M35" s="1139"/>
      <c r="N35" s="1140"/>
      <c r="O35" s="1171">
        <v>18</v>
      </c>
      <c r="P35" s="1139"/>
      <c r="Q35" s="83"/>
      <c r="R35" s="75"/>
      <c r="S35" s="75"/>
      <c r="T35" s="75"/>
      <c r="U35" s="75"/>
      <c r="V35" s="75"/>
      <c r="W35" s="75"/>
      <c r="X35" s="75"/>
      <c r="Y35" s="75"/>
      <c r="Z35" s="75"/>
    </row>
    <row r="36" spans="2:26" ht="15.6">
      <c r="B36" s="1151"/>
      <c r="C36" s="82"/>
      <c r="D36" s="1183" t="s">
        <v>439</v>
      </c>
      <c r="E36" s="1139"/>
      <c r="F36" s="1139"/>
      <c r="G36" s="1139"/>
      <c r="H36" s="1140"/>
      <c r="I36" s="107">
        <v>192</v>
      </c>
      <c r="J36" s="93"/>
      <c r="K36" s="94"/>
      <c r="L36" s="1183" t="s">
        <v>439</v>
      </c>
      <c r="M36" s="1139"/>
      <c r="N36" s="1140"/>
      <c r="O36" s="1174">
        <v>192</v>
      </c>
      <c r="P36" s="1139"/>
      <c r="Q36" s="83"/>
      <c r="R36" s="75"/>
      <c r="S36" s="75"/>
      <c r="T36" s="75"/>
      <c r="U36" s="75"/>
      <c r="V36" s="75"/>
      <c r="W36" s="75"/>
      <c r="X36" s="75"/>
      <c r="Y36" s="75"/>
      <c r="Z36" s="75"/>
    </row>
    <row r="37" spans="2:26" ht="5.25" customHeight="1" thickBot="1">
      <c r="B37" s="1152"/>
      <c r="C37" s="85"/>
      <c r="D37" s="86"/>
      <c r="E37" s="86"/>
      <c r="F37" s="86"/>
      <c r="G37" s="86"/>
      <c r="H37" s="86"/>
      <c r="I37" s="86"/>
      <c r="J37" s="87"/>
      <c r="K37" s="88"/>
      <c r="L37" s="86"/>
      <c r="M37" s="86"/>
      <c r="N37" s="86"/>
      <c r="O37" s="86"/>
      <c r="P37" s="86"/>
      <c r="Q37" s="87"/>
      <c r="R37" s="75"/>
      <c r="S37" s="75"/>
      <c r="T37" s="75"/>
      <c r="U37" s="75"/>
      <c r="V37" s="75"/>
      <c r="W37" s="75"/>
      <c r="X37" s="75"/>
      <c r="Y37" s="75"/>
      <c r="Z37" s="75"/>
    </row>
    <row r="38" spans="2:26" ht="5.25" customHeight="1">
      <c r="B38" s="1150" t="s">
        <v>440</v>
      </c>
      <c r="C38" s="78"/>
      <c r="D38" s="79"/>
      <c r="E38" s="79"/>
      <c r="F38" s="79"/>
      <c r="G38" s="79"/>
      <c r="H38" s="79"/>
      <c r="I38" s="79"/>
      <c r="J38" s="80"/>
      <c r="K38" s="81"/>
      <c r="L38" s="79"/>
      <c r="M38" s="79"/>
      <c r="N38" s="79"/>
      <c r="O38" s="79"/>
      <c r="P38" s="79"/>
      <c r="Q38" s="80"/>
      <c r="R38" s="75"/>
      <c r="S38" s="75"/>
      <c r="T38" s="75"/>
      <c r="U38" s="75"/>
      <c r="V38" s="75"/>
      <c r="W38" s="75"/>
      <c r="X38" s="75"/>
      <c r="Y38" s="75"/>
      <c r="Z38" s="75"/>
    </row>
    <row r="39" spans="2:26" ht="15.6">
      <c r="B39" s="1151"/>
      <c r="C39" s="82" t="s">
        <v>441</v>
      </c>
      <c r="D39" s="111"/>
      <c r="E39" s="111"/>
      <c r="F39" s="111"/>
      <c r="G39" s="111"/>
      <c r="H39" s="111"/>
      <c r="I39" s="111"/>
      <c r="J39" s="83"/>
      <c r="K39" s="84"/>
      <c r="L39" s="111" t="s">
        <v>442</v>
      </c>
      <c r="M39" s="111"/>
      <c r="N39" s="111"/>
      <c r="O39" s="111"/>
      <c r="P39" s="111"/>
      <c r="Q39" s="83"/>
      <c r="R39" s="75"/>
      <c r="S39" s="75"/>
      <c r="T39" s="75"/>
      <c r="U39" s="75"/>
      <c r="V39" s="75"/>
      <c r="W39" s="75"/>
      <c r="X39" s="75"/>
      <c r="Y39" s="75"/>
      <c r="Z39" s="75"/>
    </row>
    <row r="40" spans="2:26" ht="15.6">
      <c r="B40" s="1151"/>
      <c r="C40" s="82" t="s">
        <v>443</v>
      </c>
      <c r="D40" s="111"/>
      <c r="E40" s="111"/>
      <c r="F40" s="111"/>
      <c r="G40" s="111"/>
      <c r="H40" s="111"/>
      <c r="I40" s="111"/>
      <c r="J40" s="83"/>
      <c r="K40" s="84"/>
      <c r="L40" s="111" t="s">
        <v>444</v>
      </c>
      <c r="M40" s="111"/>
      <c r="N40" s="111"/>
      <c r="O40" s="111"/>
      <c r="P40" s="111"/>
      <c r="Q40" s="83"/>
      <c r="R40" s="75"/>
      <c r="S40" s="75"/>
      <c r="T40" s="75"/>
      <c r="U40" s="75"/>
      <c r="V40" s="75"/>
      <c r="W40" s="75"/>
      <c r="X40" s="75"/>
      <c r="Y40" s="75"/>
      <c r="Z40" s="75"/>
    </row>
    <row r="41" spans="2:26" ht="5.25" customHeight="1" thickBot="1">
      <c r="B41" s="1152"/>
      <c r="C41" s="85"/>
      <c r="D41" s="86"/>
      <c r="E41" s="86"/>
      <c r="F41" s="86"/>
      <c r="G41" s="86"/>
      <c r="H41" s="86"/>
      <c r="I41" s="86"/>
      <c r="J41" s="87"/>
      <c r="K41" s="88"/>
      <c r="L41" s="86"/>
      <c r="M41" s="86"/>
      <c r="N41" s="86"/>
      <c r="O41" s="86"/>
      <c r="P41" s="86"/>
      <c r="Q41" s="87"/>
      <c r="R41" s="75"/>
      <c r="S41" s="75"/>
      <c r="T41" s="75"/>
      <c r="U41" s="75"/>
      <c r="V41" s="75"/>
      <c r="W41" s="75"/>
      <c r="X41" s="75"/>
      <c r="Y41" s="75"/>
      <c r="Z41" s="75"/>
    </row>
    <row r="42" spans="2:26" ht="5.25" customHeight="1">
      <c r="B42" s="1150" t="s">
        <v>445</v>
      </c>
      <c r="C42" s="78"/>
      <c r="D42" s="79"/>
      <c r="E42" s="79"/>
      <c r="F42" s="79"/>
      <c r="G42" s="79"/>
      <c r="H42" s="79"/>
      <c r="I42" s="79"/>
      <c r="J42" s="80"/>
      <c r="K42" s="81"/>
      <c r="L42" s="79"/>
      <c r="M42" s="79"/>
      <c r="N42" s="79"/>
      <c r="O42" s="79"/>
      <c r="P42" s="79"/>
      <c r="Q42" s="80"/>
      <c r="R42" s="75"/>
      <c r="S42" s="75"/>
      <c r="T42" s="75"/>
      <c r="U42" s="75"/>
      <c r="V42" s="75"/>
      <c r="W42" s="75"/>
      <c r="X42" s="75"/>
      <c r="Y42" s="75"/>
      <c r="Z42" s="75"/>
    </row>
    <row r="43" spans="2:26" ht="15.6">
      <c r="B43" s="1151"/>
      <c r="C43" s="82"/>
      <c r="D43" s="111" t="s">
        <v>446</v>
      </c>
      <c r="E43" s="111"/>
      <c r="F43" s="111"/>
      <c r="G43" s="111"/>
      <c r="H43" s="111"/>
      <c r="I43" s="111"/>
      <c r="J43" s="83"/>
      <c r="K43" s="84"/>
      <c r="L43" s="111" t="s">
        <v>447</v>
      </c>
      <c r="M43" s="111"/>
      <c r="N43" s="111"/>
      <c r="O43" s="111"/>
      <c r="P43" s="111"/>
      <c r="Q43" s="83"/>
      <c r="R43" s="75"/>
      <c r="S43" s="75"/>
      <c r="T43" s="75"/>
      <c r="U43" s="75"/>
      <c r="V43" s="75"/>
      <c r="W43" s="75"/>
      <c r="X43" s="75"/>
      <c r="Y43" s="75"/>
      <c r="Z43" s="75"/>
    </row>
    <row r="44" spans="2:26" ht="15.6">
      <c r="B44" s="1151"/>
      <c r="C44" s="82"/>
      <c r="D44" s="111" t="s">
        <v>448</v>
      </c>
      <c r="E44" s="112"/>
      <c r="F44" s="112"/>
      <c r="G44" s="112"/>
      <c r="H44" s="112"/>
      <c r="I44" s="112"/>
      <c r="J44" s="83"/>
      <c r="K44" s="84"/>
      <c r="L44" s="111"/>
      <c r="M44" s="111"/>
      <c r="N44" s="111"/>
      <c r="O44" s="111"/>
      <c r="P44" s="111"/>
      <c r="Q44" s="83"/>
      <c r="R44" s="75"/>
      <c r="S44" s="75"/>
      <c r="T44" s="75"/>
      <c r="U44" s="75"/>
      <c r="V44" s="75"/>
      <c r="W44" s="75"/>
      <c r="X44" s="75"/>
      <c r="Y44" s="75"/>
      <c r="Z44" s="75"/>
    </row>
    <row r="45" spans="2:26" ht="15.6">
      <c r="B45" s="1151"/>
      <c r="C45" s="82"/>
      <c r="D45" s="1184" t="s">
        <v>366</v>
      </c>
      <c r="E45" s="1139"/>
      <c r="F45" s="1140"/>
      <c r="G45" s="1185" t="s">
        <v>449</v>
      </c>
      <c r="H45" s="1140"/>
      <c r="I45" s="113" t="s">
        <v>450</v>
      </c>
      <c r="J45" s="83"/>
      <c r="K45" s="84"/>
      <c r="L45" s="1184" t="s">
        <v>366</v>
      </c>
      <c r="M45" s="1140"/>
      <c r="N45" s="1185" t="s">
        <v>449</v>
      </c>
      <c r="O45" s="1140"/>
      <c r="P45" s="113" t="s">
        <v>451</v>
      </c>
      <c r="Q45" s="83"/>
      <c r="R45" s="75"/>
      <c r="S45" s="75"/>
      <c r="T45" s="75"/>
      <c r="U45" s="75"/>
      <c r="V45" s="75"/>
      <c r="W45" s="75"/>
      <c r="X45" s="75"/>
      <c r="Y45" s="75"/>
      <c r="Z45" s="75"/>
    </row>
    <row r="46" spans="2:26" ht="38.25" customHeight="1">
      <c r="B46" s="1151"/>
      <c r="C46" s="82"/>
      <c r="D46" s="1138" t="s">
        <v>452</v>
      </c>
      <c r="E46" s="1140"/>
      <c r="F46" s="114">
        <v>1</v>
      </c>
      <c r="G46" s="1186" t="s">
        <v>453</v>
      </c>
      <c r="H46" s="1140"/>
      <c r="I46" s="1187">
        <v>86</v>
      </c>
      <c r="J46" s="83"/>
      <c r="K46" s="84"/>
      <c r="L46" s="115" t="s">
        <v>452</v>
      </c>
      <c r="M46" s="114">
        <v>3</v>
      </c>
      <c r="N46" s="1186" t="s">
        <v>454</v>
      </c>
      <c r="O46" s="1140"/>
      <c r="P46" s="1187">
        <v>80</v>
      </c>
      <c r="Q46" s="83"/>
      <c r="R46" s="75"/>
      <c r="S46" s="75"/>
      <c r="T46" s="75"/>
      <c r="U46" s="75"/>
      <c r="V46" s="75"/>
      <c r="W46" s="75"/>
      <c r="X46" s="75"/>
      <c r="Y46" s="75"/>
      <c r="Z46" s="75"/>
    </row>
    <row r="47" spans="2:26" ht="16.5" customHeight="1">
      <c r="B47" s="1151"/>
      <c r="C47" s="82"/>
      <c r="D47" s="1138" t="s">
        <v>455</v>
      </c>
      <c r="E47" s="1140"/>
      <c r="F47" s="114">
        <v>179</v>
      </c>
      <c r="G47" s="1141" t="s">
        <v>438</v>
      </c>
      <c r="H47" s="1140"/>
      <c r="I47" s="1168"/>
      <c r="J47" s="83"/>
      <c r="K47" s="84"/>
      <c r="L47" s="115" t="s">
        <v>456</v>
      </c>
      <c r="M47" s="114">
        <v>216</v>
      </c>
      <c r="N47" s="1141" t="s">
        <v>438</v>
      </c>
      <c r="O47" s="1140"/>
      <c r="P47" s="1168"/>
      <c r="Q47" s="83"/>
      <c r="R47" s="75"/>
      <c r="S47" s="75"/>
      <c r="T47" s="75"/>
      <c r="U47" s="75"/>
      <c r="V47" s="75"/>
      <c r="W47" s="75"/>
      <c r="X47" s="75"/>
      <c r="Y47" s="75"/>
      <c r="Z47" s="75"/>
    </row>
    <row r="48" spans="2:26" ht="16.5" customHeight="1">
      <c r="B48" s="1151"/>
      <c r="C48" s="82"/>
      <c r="D48" s="1138" t="s">
        <v>457</v>
      </c>
      <c r="E48" s="1140"/>
      <c r="F48" s="114">
        <v>368</v>
      </c>
      <c r="G48" s="1141" t="s">
        <v>438</v>
      </c>
      <c r="H48" s="1140"/>
      <c r="I48" s="1159"/>
      <c r="J48" s="83"/>
      <c r="K48" s="84"/>
      <c r="L48" s="115" t="s">
        <v>458</v>
      </c>
      <c r="M48" s="114">
        <v>309</v>
      </c>
      <c r="N48" s="1141" t="s">
        <v>438</v>
      </c>
      <c r="O48" s="1140"/>
      <c r="P48" s="1159"/>
      <c r="Q48" s="83"/>
      <c r="R48" s="75"/>
      <c r="S48" s="75"/>
      <c r="T48" s="75"/>
      <c r="U48" s="75"/>
      <c r="V48" s="75"/>
      <c r="W48" s="75"/>
      <c r="X48" s="75"/>
      <c r="Y48" s="75"/>
      <c r="Z48" s="75"/>
    </row>
    <row r="49" spans="2:26" ht="5.25" customHeight="1" thickBot="1">
      <c r="B49" s="1152"/>
      <c r="C49" s="85"/>
      <c r="D49" s="86"/>
      <c r="E49" s="86"/>
      <c r="F49" s="86"/>
      <c r="G49" s="86"/>
      <c r="H49" s="86"/>
      <c r="I49" s="86"/>
      <c r="J49" s="87"/>
      <c r="K49" s="88"/>
      <c r="L49" s="86"/>
      <c r="M49" s="86"/>
      <c r="N49" s="86"/>
      <c r="O49" s="86"/>
      <c r="P49" s="86"/>
      <c r="Q49" s="87"/>
      <c r="R49" s="75"/>
      <c r="S49" s="75"/>
      <c r="T49" s="75"/>
      <c r="U49" s="75"/>
      <c r="V49" s="75"/>
      <c r="W49" s="75"/>
      <c r="X49" s="75"/>
      <c r="Y49" s="75"/>
      <c r="Z49" s="75"/>
    </row>
    <row r="50" spans="2:26" ht="5.25" customHeight="1">
      <c r="B50" s="1150" t="s">
        <v>459</v>
      </c>
      <c r="C50" s="78"/>
      <c r="D50" s="79"/>
      <c r="E50" s="79"/>
      <c r="F50" s="79"/>
      <c r="G50" s="79"/>
      <c r="H50" s="79"/>
      <c r="I50" s="79"/>
      <c r="J50" s="80"/>
      <c r="K50" s="81"/>
      <c r="L50" s="79"/>
      <c r="M50" s="79"/>
      <c r="N50" s="79"/>
      <c r="O50" s="79"/>
      <c r="P50" s="79"/>
      <c r="Q50" s="80"/>
      <c r="R50" s="75"/>
      <c r="S50" s="75"/>
      <c r="T50" s="75"/>
      <c r="U50" s="75"/>
      <c r="V50" s="75"/>
      <c r="W50" s="75"/>
      <c r="X50" s="75"/>
      <c r="Y50" s="75"/>
      <c r="Z50" s="75"/>
    </row>
    <row r="51" spans="2:26" ht="26.4">
      <c r="B51" s="1151"/>
      <c r="C51" s="82"/>
      <c r="D51" s="1189" t="s">
        <v>366</v>
      </c>
      <c r="E51" s="1139"/>
      <c r="F51" s="1140"/>
      <c r="G51" s="116" t="s">
        <v>460</v>
      </c>
      <c r="H51" s="116" t="s">
        <v>461</v>
      </c>
      <c r="I51" s="117" t="s">
        <v>462</v>
      </c>
      <c r="J51" s="93"/>
      <c r="K51" s="94"/>
      <c r="L51" s="1189" t="s">
        <v>366</v>
      </c>
      <c r="M51" s="1140"/>
      <c r="N51" s="116" t="s">
        <v>460</v>
      </c>
      <c r="O51" s="116" t="s">
        <v>461</v>
      </c>
      <c r="P51" s="117" t="s">
        <v>463</v>
      </c>
      <c r="Q51" s="83"/>
      <c r="R51" s="75"/>
      <c r="S51" s="75"/>
      <c r="T51" s="75"/>
      <c r="U51" s="75"/>
      <c r="V51" s="75"/>
      <c r="W51" s="75"/>
      <c r="X51" s="75"/>
      <c r="Y51" s="75"/>
      <c r="Z51" s="75"/>
    </row>
    <row r="52" spans="2:26" ht="15.6">
      <c r="B52" s="1151"/>
      <c r="C52" s="82"/>
      <c r="D52" s="1188" t="s">
        <v>464</v>
      </c>
      <c r="E52" s="1139"/>
      <c r="F52" s="1140"/>
      <c r="G52" s="118">
        <v>8</v>
      </c>
      <c r="H52" s="118">
        <v>-2</v>
      </c>
      <c r="I52" s="119" t="s">
        <v>465</v>
      </c>
      <c r="J52" s="93"/>
      <c r="K52" s="94"/>
      <c r="L52" s="1188" t="s">
        <v>464</v>
      </c>
      <c r="M52" s="1140"/>
      <c r="N52" s="118">
        <v>4</v>
      </c>
      <c r="O52" s="118">
        <v>-1</v>
      </c>
      <c r="P52" s="119" t="s">
        <v>360</v>
      </c>
      <c r="Q52" s="83"/>
      <c r="R52" s="75"/>
      <c r="S52" s="75"/>
      <c r="T52" s="75"/>
      <c r="U52" s="75"/>
      <c r="V52" s="75"/>
      <c r="W52" s="75"/>
      <c r="X52" s="75"/>
      <c r="Y52" s="75"/>
      <c r="Z52" s="75"/>
    </row>
    <row r="53" spans="2:26" ht="27.75" customHeight="1">
      <c r="B53" s="1151"/>
      <c r="C53" s="82"/>
      <c r="D53" s="1188" t="s">
        <v>466</v>
      </c>
      <c r="E53" s="1139"/>
      <c r="F53" s="1140"/>
      <c r="G53" s="118">
        <v>6</v>
      </c>
      <c r="H53" s="120"/>
      <c r="I53" s="119" t="s">
        <v>467</v>
      </c>
      <c r="J53" s="93"/>
      <c r="K53" s="94"/>
      <c r="L53" s="1188" t="s">
        <v>468</v>
      </c>
      <c r="M53" s="1140"/>
      <c r="N53" s="118">
        <v>3</v>
      </c>
      <c r="O53" s="120"/>
      <c r="P53" s="119">
        <v>3</v>
      </c>
      <c r="Q53" s="83"/>
      <c r="R53" s="75"/>
      <c r="S53" s="75"/>
      <c r="T53" s="75"/>
      <c r="U53" s="75"/>
      <c r="V53" s="75"/>
      <c r="W53" s="75"/>
      <c r="X53" s="75"/>
      <c r="Y53" s="75"/>
      <c r="Z53" s="75"/>
    </row>
    <row r="54" spans="2:26" ht="15.6">
      <c r="B54" s="1151"/>
      <c r="C54" s="82"/>
      <c r="D54" s="1188" t="s">
        <v>469</v>
      </c>
      <c r="E54" s="1139"/>
      <c r="F54" s="1140"/>
      <c r="G54" s="118">
        <v>5</v>
      </c>
      <c r="H54" s="118" t="s">
        <v>470</v>
      </c>
      <c r="I54" s="119" t="s">
        <v>471</v>
      </c>
      <c r="J54" s="93"/>
      <c r="K54" s="94"/>
      <c r="L54" s="1188" t="s">
        <v>472</v>
      </c>
      <c r="M54" s="1140"/>
      <c r="N54" s="118">
        <v>4</v>
      </c>
      <c r="O54" s="118" t="s">
        <v>473</v>
      </c>
      <c r="P54" s="119" t="s">
        <v>362</v>
      </c>
      <c r="Q54" s="83"/>
      <c r="R54" s="75"/>
      <c r="S54" s="75"/>
      <c r="T54" s="75"/>
      <c r="U54" s="75"/>
      <c r="V54" s="75"/>
      <c r="W54" s="75"/>
      <c r="X54" s="75"/>
      <c r="Y54" s="75"/>
      <c r="Z54" s="75"/>
    </row>
    <row r="55" spans="2:26" ht="15.6">
      <c r="B55" s="1151"/>
      <c r="C55" s="82"/>
      <c r="D55" s="1188" t="s">
        <v>474</v>
      </c>
      <c r="E55" s="1139"/>
      <c r="F55" s="1140"/>
      <c r="G55" s="118">
        <v>5</v>
      </c>
      <c r="H55" s="118" t="s">
        <v>475</v>
      </c>
      <c r="I55" s="119" t="s">
        <v>476</v>
      </c>
      <c r="J55" s="93"/>
      <c r="K55" s="94"/>
      <c r="L55" s="1188" t="s">
        <v>477</v>
      </c>
      <c r="M55" s="1140"/>
      <c r="N55" s="118">
        <v>3</v>
      </c>
      <c r="O55" s="118" t="s">
        <v>473</v>
      </c>
      <c r="P55" s="119" t="s">
        <v>363</v>
      </c>
      <c r="Q55" s="83"/>
      <c r="R55" s="75"/>
      <c r="S55" s="75"/>
      <c r="T55" s="75"/>
      <c r="U55" s="75"/>
      <c r="V55" s="75"/>
      <c r="W55" s="75"/>
      <c r="X55" s="75"/>
      <c r="Y55" s="75"/>
      <c r="Z55" s="75"/>
    </row>
    <row r="56" spans="2:26" ht="15.6">
      <c r="B56" s="1151"/>
      <c r="C56" s="82"/>
      <c r="D56" s="1188" t="s">
        <v>478</v>
      </c>
      <c r="E56" s="1139"/>
      <c r="F56" s="1140"/>
      <c r="G56" s="118">
        <v>5</v>
      </c>
      <c r="H56" s="118" t="s">
        <v>475</v>
      </c>
      <c r="I56" s="119" t="s">
        <v>476</v>
      </c>
      <c r="J56" s="93"/>
      <c r="K56" s="94"/>
      <c r="L56" s="1188" t="s">
        <v>389</v>
      </c>
      <c r="M56" s="1140"/>
      <c r="N56" s="1186" t="s">
        <v>479</v>
      </c>
      <c r="O56" s="1139"/>
      <c r="P56" s="1139"/>
      <c r="Q56" s="83"/>
      <c r="R56" s="75"/>
      <c r="S56" s="75"/>
      <c r="T56" s="75"/>
      <c r="U56" s="75"/>
      <c r="V56" s="75"/>
      <c r="W56" s="75"/>
      <c r="X56" s="75"/>
      <c r="Y56" s="75"/>
      <c r="Z56" s="75"/>
    </row>
    <row r="57" spans="2:26" ht="15.6">
      <c r="B57" s="1151"/>
      <c r="C57" s="82"/>
      <c r="D57" s="1188" t="s">
        <v>387</v>
      </c>
      <c r="E57" s="1139"/>
      <c r="F57" s="1140"/>
      <c r="G57" s="1186" t="s">
        <v>479</v>
      </c>
      <c r="H57" s="1139"/>
      <c r="I57" s="1139"/>
      <c r="J57" s="93"/>
      <c r="K57" s="94"/>
      <c r="L57" s="121"/>
      <c r="M57" s="111"/>
      <c r="N57" s="111"/>
      <c r="O57" s="111"/>
      <c r="P57" s="111"/>
      <c r="Q57" s="83"/>
      <c r="R57" s="75"/>
      <c r="S57" s="75"/>
      <c r="T57" s="75"/>
      <c r="U57" s="75"/>
      <c r="V57" s="75"/>
      <c r="W57" s="75"/>
      <c r="X57" s="75"/>
      <c r="Y57" s="75"/>
      <c r="Z57" s="75"/>
    </row>
    <row r="58" spans="2:26" ht="15.6">
      <c r="B58" s="1151"/>
      <c r="C58" s="82"/>
      <c r="D58" s="111"/>
      <c r="E58" s="111"/>
      <c r="F58" s="111"/>
      <c r="G58" s="111"/>
      <c r="H58" s="111"/>
      <c r="I58" s="111"/>
      <c r="J58" s="83"/>
      <c r="K58" s="84"/>
      <c r="L58" s="111"/>
      <c r="M58" s="111"/>
      <c r="N58" s="111"/>
      <c r="O58" s="111"/>
      <c r="P58" s="111"/>
      <c r="Q58" s="83"/>
      <c r="R58" s="75"/>
      <c r="S58" s="75"/>
      <c r="T58" s="75"/>
      <c r="U58" s="75"/>
      <c r="V58" s="75"/>
      <c r="W58" s="75"/>
      <c r="X58" s="75"/>
      <c r="Y58" s="75"/>
      <c r="Z58" s="75"/>
    </row>
    <row r="59" spans="2:26" ht="33.75" customHeight="1">
      <c r="B59" s="1151"/>
      <c r="C59" s="82"/>
      <c r="D59" s="1191" t="s">
        <v>480</v>
      </c>
      <c r="E59" s="1176"/>
      <c r="F59" s="1176"/>
      <c r="G59" s="1176"/>
      <c r="H59" s="1176"/>
      <c r="I59" s="1176"/>
      <c r="J59" s="83"/>
      <c r="K59" s="84"/>
      <c r="L59" s="1191" t="s">
        <v>481</v>
      </c>
      <c r="M59" s="1191"/>
      <c r="N59" s="1191"/>
      <c r="O59" s="1191"/>
      <c r="P59" s="1191"/>
      <c r="Q59" s="83"/>
      <c r="R59" s="75"/>
      <c r="S59" s="75"/>
      <c r="T59" s="75"/>
      <c r="U59" s="75"/>
      <c r="V59" s="75"/>
      <c r="W59" s="75"/>
      <c r="X59" s="75"/>
      <c r="Y59" s="75"/>
      <c r="Z59" s="75"/>
    </row>
    <row r="60" spans="2:26" ht="5.25" customHeight="1" thickBot="1">
      <c r="B60" s="1152"/>
      <c r="C60" s="85"/>
      <c r="D60" s="86"/>
      <c r="E60" s="86"/>
      <c r="F60" s="86"/>
      <c r="G60" s="86"/>
      <c r="H60" s="86"/>
      <c r="I60" s="86"/>
      <c r="J60" s="87"/>
      <c r="K60" s="88"/>
      <c r="L60" s="86"/>
      <c r="M60" s="86"/>
      <c r="N60" s="86"/>
      <c r="O60" s="86"/>
      <c r="P60" s="86"/>
      <c r="Q60" s="87"/>
      <c r="R60" s="75"/>
      <c r="S60" s="75"/>
      <c r="T60" s="75"/>
      <c r="U60" s="75"/>
      <c r="V60" s="75"/>
      <c r="W60" s="75"/>
      <c r="X60" s="75"/>
      <c r="Y60" s="75"/>
      <c r="Z60" s="75"/>
    </row>
    <row r="61" spans="2:26" ht="5.25" customHeight="1">
      <c r="B61" s="1193" t="s">
        <v>482</v>
      </c>
      <c r="C61" s="82"/>
      <c r="D61" s="111"/>
      <c r="E61" s="111"/>
      <c r="F61" s="111"/>
      <c r="G61" s="111"/>
      <c r="H61" s="111"/>
      <c r="I61" s="111"/>
      <c r="J61" s="111"/>
      <c r="K61" s="81"/>
      <c r="L61" s="79"/>
      <c r="M61" s="79"/>
      <c r="N61" s="79"/>
      <c r="O61" s="79"/>
      <c r="P61" s="79"/>
      <c r="Q61" s="80"/>
      <c r="R61" s="75"/>
      <c r="S61" s="75"/>
      <c r="T61" s="75"/>
      <c r="U61" s="75"/>
      <c r="V61" s="75"/>
      <c r="W61" s="75"/>
      <c r="X61" s="75"/>
      <c r="Y61" s="75"/>
      <c r="Z61" s="75"/>
    </row>
    <row r="62" spans="2:26" ht="15.6">
      <c r="B62" s="1194"/>
      <c r="C62" s="82"/>
      <c r="D62" s="111"/>
      <c r="E62" s="111"/>
      <c r="F62" s="111"/>
      <c r="G62" s="111"/>
      <c r="H62" s="111"/>
      <c r="I62" s="111"/>
      <c r="J62" s="111"/>
      <c r="K62" s="84"/>
      <c r="L62" s="111" t="s">
        <v>483</v>
      </c>
      <c r="M62" s="111"/>
      <c r="N62" s="111"/>
      <c r="O62" s="111"/>
      <c r="P62" s="111"/>
      <c r="Q62" s="83"/>
      <c r="R62" s="75"/>
      <c r="S62" s="75"/>
      <c r="T62" s="75"/>
      <c r="U62" s="75"/>
      <c r="V62" s="75"/>
      <c r="W62" s="75"/>
      <c r="X62" s="75"/>
      <c r="Y62" s="75"/>
      <c r="Z62" s="75"/>
    </row>
    <row r="63" spans="2:26" ht="15.6">
      <c r="B63" s="1194"/>
      <c r="C63" s="82"/>
      <c r="D63" s="111"/>
      <c r="E63" s="111"/>
      <c r="F63" s="111"/>
      <c r="G63" s="111"/>
      <c r="H63" s="111"/>
      <c r="I63" s="111"/>
      <c r="J63" s="111"/>
      <c r="K63" s="84"/>
      <c r="L63" s="111" t="s">
        <v>484</v>
      </c>
      <c r="M63" s="111"/>
      <c r="N63" s="111"/>
      <c r="O63" s="111"/>
      <c r="P63" s="111"/>
      <c r="Q63" s="83"/>
      <c r="R63" s="75"/>
      <c r="S63" s="75"/>
      <c r="T63" s="75"/>
      <c r="U63" s="75"/>
      <c r="V63" s="75"/>
      <c r="W63" s="75"/>
      <c r="X63" s="75"/>
      <c r="Y63" s="75"/>
      <c r="Z63" s="75"/>
    </row>
    <row r="64" spans="2:26" ht="15.6">
      <c r="B64" s="1194"/>
      <c r="C64" s="82"/>
      <c r="D64" s="111"/>
      <c r="E64" s="111"/>
      <c r="F64" s="111"/>
      <c r="G64" s="111"/>
      <c r="H64" s="111"/>
      <c r="I64" s="111"/>
      <c r="J64" s="111"/>
      <c r="K64" s="84"/>
      <c r="L64" s="1195" t="s">
        <v>366</v>
      </c>
      <c r="M64" s="1196" t="s">
        <v>485</v>
      </c>
      <c r="N64" s="1140"/>
      <c r="O64" s="1196" t="s">
        <v>486</v>
      </c>
      <c r="P64" s="1139"/>
      <c r="Q64" s="83"/>
      <c r="R64" s="75"/>
      <c r="S64" s="75"/>
      <c r="T64" s="75"/>
      <c r="U64" s="75"/>
      <c r="V64" s="75"/>
      <c r="W64" s="75"/>
      <c r="X64" s="75"/>
      <c r="Y64" s="75"/>
      <c r="Z64" s="75"/>
    </row>
    <row r="65" spans="2:26" ht="15.6">
      <c r="B65" s="1194"/>
      <c r="C65" s="82"/>
      <c r="D65" s="111"/>
      <c r="E65" s="111"/>
      <c r="F65" s="111"/>
      <c r="G65" s="111"/>
      <c r="H65" s="111"/>
      <c r="I65" s="111"/>
      <c r="J65" s="111"/>
      <c r="K65" s="84"/>
      <c r="L65" s="1156"/>
      <c r="M65" s="114" t="s">
        <v>0</v>
      </c>
      <c r="N65" s="114" t="s">
        <v>487</v>
      </c>
      <c r="O65" s="114" t="s">
        <v>0</v>
      </c>
      <c r="P65" s="122" t="s">
        <v>487</v>
      </c>
      <c r="Q65" s="83"/>
      <c r="R65" s="75"/>
      <c r="S65" s="75"/>
      <c r="T65" s="75"/>
      <c r="U65" s="75"/>
      <c r="V65" s="75"/>
      <c r="W65" s="75"/>
      <c r="X65" s="75"/>
      <c r="Y65" s="75"/>
      <c r="Z65" s="75"/>
    </row>
    <row r="66" spans="2:26" ht="15.6">
      <c r="B66" s="1194"/>
      <c r="C66" s="82"/>
      <c r="D66" s="111"/>
      <c r="E66" s="111"/>
      <c r="F66" s="111"/>
      <c r="G66" s="111"/>
      <c r="H66" s="111"/>
      <c r="I66" s="111"/>
      <c r="J66" s="111"/>
      <c r="K66" s="84"/>
      <c r="L66" s="123" t="s">
        <v>202</v>
      </c>
      <c r="M66" s="124">
        <v>2</v>
      </c>
      <c r="N66" s="124">
        <v>2</v>
      </c>
      <c r="O66" s="124">
        <v>4</v>
      </c>
      <c r="P66" s="113">
        <v>0</v>
      </c>
      <c r="Q66" s="83"/>
      <c r="R66" s="75"/>
      <c r="S66" s="75"/>
      <c r="T66" s="75"/>
      <c r="U66" s="75"/>
      <c r="V66" s="75"/>
      <c r="W66" s="75"/>
      <c r="X66" s="75"/>
      <c r="Y66" s="75"/>
      <c r="Z66" s="75"/>
    </row>
    <row r="67" spans="2:26" ht="15.6">
      <c r="B67" s="1194"/>
      <c r="C67" s="82"/>
      <c r="D67" s="111"/>
      <c r="E67" s="111"/>
      <c r="F67" s="111"/>
      <c r="G67" s="111"/>
      <c r="H67" s="111"/>
      <c r="I67" s="111"/>
      <c r="J67" s="111"/>
      <c r="K67" s="84"/>
      <c r="L67" s="123" t="s">
        <v>216</v>
      </c>
      <c r="M67" s="124">
        <v>2</v>
      </c>
      <c r="N67" s="124">
        <v>2</v>
      </c>
      <c r="O67" s="124">
        <v>0</v>
      </c>
      <c r="P67" s="113">
        <v>4</v>
      </c>
      <c r="Q67" s="83"/>
      <c r="R67" s="75"/>
      <c r="S67" s="75"/>
      <c r="T67" s="75"/>
      <c r="U67" s="75"/>
      <c r="V67" s="75"/>
      <c r="W67" s="75"/>
      <c r="X67" s="75"/>
      <c r="Y67" s="75"/>
      <c r="Z67" s="75"/>
    </row>
    <row r="68" spans="2:26" ht="15.6">
      <c r="B68" s="1194"/>
      <c r="C68" s="82"/>
      <c r="D68" s="111"/>
      <c r="E68" s="111"/>
      <c r="F68" s="111"/>
      <c r="G68" s="111"/>
      <c r="H68" s="111"/>
      <c r="I68" s="111"/>
      <c r="J68" s="111"/>
      <c r="K68" s="84"/>
      <c r="L68" s="123" t="s">
        <v>205</v>
      </c>
      <c r="M68" s="124">
        <v>2</v>
      </c>
      <c r="N68" s="124">
        <v>2</v>
      </c>
      <c r="O68" s="124">
        <v>4</v>
      </c>
      <c r="P68" s="113">
        <v>0</v>
      </c>
      <c r="Q68" s="83"/>
      <c r="R68" s="75"/>
      <c r="S68" s="75"/>
      <c r="T68" s="75"/>
      <c r="U68" s="75"/>
      <c r="V68" s="75"/>
      <c r="W68" s="75"/>
      <c r="X68" s="75"/>
      <c r="Y68" s="75"/>
      <c r="Z68" s="75"/>
    </row>
    <row r="69" spans="2:26" ht="15.6">
      <c r="B69" s="1194"/>
      <c r="C69" s="82"/>
      <c r="D69" s="111"/>
      <c r="E69" s="111"/>
      <c r="F69" s="111"/>
      <c r="G69" s="111"/>
      <c r="H69" s="111"/>
      <c r="I69" s="111"/>
      <c r="J69" s="111"/>
      <c r="K69" s="84"/>
      <c r="L69" s="111" t="s">
        <v>488</v>
      </c>
      <c r="M69" s="111"/>
      <c r="N69" s="111"/>
      <c r="O69" s="111"/>
      <c r="P69" s="111"/>
      <c r="Q69" s="83"/>
      <c r="R69" s="75"/>
      <c r="S69" s="75"/>
      <c r="T69" s="75"/>
      <c r="U69" s="75"/>
      <c r="V69" s="75"/>
      <c r="W69" s="75"/>
      <c r="X69" s="75"/>
      <c r="Y69" s="75"/>
      <c r="Z69" s="75"/>
    </row>
    <row r="70" spans="2:26" ht="15.6">
      <c r="B70" s="1194"/>
      <c r="C70" s="82"/>
      <c r="D70" s="111"/>
      <c r="E70" s="111"/>
      <c r="F70" s="111"/>
      <c r="G70" s="111"/>
      <c r="H70" s="111"/>
      <c r="I70" s="111"/>
      <c r="J70" s="111"/>
      <c r="K70" s="84"/>
      <c r="L70" s="1195" t="s">
        <v>366</v>
      </c>
      <c r="M70" s="1196" t="s">
        <v>485</v>
      </c>
      <c r="N70" s="1140"/>
      <c r="O70" s="1196" t="s">
        <v>486</v>
      </c>
      <c r="P70" s="1139"/>
      <c r="Q70" s="83"/>
      <c r="R70" s="75"/>
      <c r="S70" s="75"/>
      <c r="T70" s="75"/>
      <c r="U70" s="75"/>
      <c r="V70" s="75"/>
      <c r="W70" s="75"/>
      <c r="X70" s="75"/>
      <c r="Y70" s="75"/>
      <c r="Z70" s="75"/>
    </row>
    <row r="71" spans="2:26" ht="15.6">
      <c r="B71" s="1194"/>
      <c r="C71" s="82"/>
      <c r="D71" s="111"/>
      <c r="E71" s="111"/>
      <c r="F71" s="111"/>
      <c r="G71" s="111"/>
      <c r="H71" s="111"/>
      <c r="I71" s="111"/>
      <c r="J71" s="111"/>
      <c r="K71" s="84"/>
      <c r="L71" s="1156"/>
      <c r="M71" s="114" t="s">
        <v>0</v>
      </c>
      <c r="N71" s="114" t="s">
        <v>487</v>
      </c>
      <c r="O71" s="114" t="s">
        <v>0</v>
      </c>
      <c r="P71" s="122" t="s">
        <v>487</v>
      </c>
      <c r="Q71" s="83"/>
      <c r="R71" s="75"/>
      <c r="S71" s="75"/>
      <c r="T71" s="75"/>
      <c r="U71" s="75"/>
      <c r="V71" s="75"/>
      <c r="W71" s="75"/>
      <c r="X71" s="75"/>
      <c r="Y71" s="75"/>
      <c r="Z71" s="75"/>
    </row>
    <row r="72" spans="2:26" ht="15.6">
      <c r="B72" s="1194"/>
      <c r="C72" s="82"/>
      <c r="D72" s="111"/>
      <c r="E72" s="111"/>
      <c r="F72" s="111"/>
      <c r="G72" s="111"/>
      <c r="H72" s="111"/>
      <c r="I72" s="111"/>
      <c r="J72" s="111"/>
      <c r="K72" s="84"/>
      <c r="L72" s="123" t="s">
        <v>452</v>
      </c>
      <c r="M72" s="124">
        <v>1</v>
      </c>
      <c r="N72" s="124">
        <v>1</v>
      </c>
      <c r="O72" s="124">
        <v>2</v>
      </c>
      <c r="P72" s="113">
        <v>0</v>
      </c>
      <c r="Q72" s="83"/>
      <c r="R72" s="75"/>
      <c r="S72" s="75"/>
      <c r="T72" s="75"/>
      <c r="U72" s="75"/>
      <c r="V72" s="75"/>
      <c r="W72" s="75"/>
      <c r="X72" s="75"/>
      <c r="Y72" s="75"/>
      <c r="Z72" s="75"/>
    </row>
    <row r="73" spans="2:26" ht="15.6">
      <c r="B73" s="1194"/>
      <c r="C73" s="82"/>
      <c r="D73" s="111"/>
      <c r="E73" s="111"/>
      <c r="F73" s="111"/>
      <c r="G73" s="111"/>
      <c r="H73" s="111"/>
      <c r="I73" s="111"/>
      <c r="J73" s="111"/>
      <c r="K73" s="84"/>
      <c r="L73" s="123" t="s">
        <v>456</v>
      </c>
      <c r="M73" s="124">
        <v>2</v>
      </c>
      <c r="N73" s="124">
        <v>2</v>
      </c>
      <c r="O73" s="124">
        <v>0</v>
      </c>
      <c r="P73" s="113">
        <v>4</v>
      </c>
      <c r="Q73" s="83"/>
      <c r="R73" s="75"/>
      <c r="S73" s="75"/>
      <c r="T73" s="75"/>
      <c r="U73" s="75"/>
      <c r="V73" s="75"/>
      <c r="W73" s="75"/>
      <c r="X73" s="75"/>
      <c r="Y73" s="75"/>
      <c r="Z73" s="75"/>
    </row>
    <row r="74" spans="2:26" ht="15.6">
      <c r="B74" s="1194"/>
      <c r="C74" s="82"/>
      <c r="D74" s="111"/>
      <c r="E74" s="111"/>
      <c r="F74" s="111"/>
      <c r="G74" s="111"/>
      <c r="H74" s="111"/>
      <c r="I74" s="111"/>
      <c r="J74" s="111"/>
      <c r="K74" s="84"/>
      <c r="L74" s="1197" t="s">
        <v>489</v>
      </c>
      <c r="M74" s="1190" t="s">
        <v>490</v>
      </c>
      <c r="N74" s="1190" t="s">
        <v>490</v>
      </c>
      <c r="O74" s="125">
        <v>8</v>
      </c>
      <c r="P74" s="126">
        <v>0</v>
      </c>
      <c r="Q74" s="83"/>
      <c r="R74" s="75"/>
      <c r="S74" s="75"/>
      <c r="T74" s="75"/>
      <c r="U74" s="75"/>
      <c r="V74" s="75"/>
      <c r="W74" s="75"/>
      <c r="X74" s="75"/>
      <c r="Y74" s="75"/>
      <c r="Z74" s="75"/>
    </row>
    <row r="75" spans="2:26" ht="15.6">
      <c r="B75" s="1194"/>
      <c r="C75" s="82"/>
      <c r="D75" s="111"/>
      <c r="E75" s="111"/>
      <c r="F75" s="111"/>
      <c r="G75" s="111"/>
      <c r="H75" s="111"/>
      <c r="I75" s="111"/>
      <c r="J75" s="111"/>
      <c r="K75" s="84"/>
      <c r="L75" s="1198"/>
      <c r="M75" s="1166"/>
      <c r="N75" s="1166"/>
      <c r="O75" s="125">
        <v>4</v>
      </c>
      <c r="P75" s="126">
        <v>4</v>
      </c>
      <c r="Q75" s="83"/>
      <c r="R75" s="75"/>
      <c r="S75" s="75"/>
      <c r="T75" s="75"/>
      <c r="U75" s="75"/>
      <c r="V75" s="75"/>
      <c r="W75" s="75"/>
      <c r="X75" s="75"/>
      <c r="Y75" s="75"/>
      <c r="Z75" s="75"/>
    </row>
    <row r="76" spans="2:26" ht="33.75" customHeight="1">
      <c r="B76" s="1194"/>
      <c r="C76" s="82"/>
      <c r="D76" s="111"/>
      <c r="E76" s="111"/>
      <c r="F76" s="111"/>
      <c r="G76" s="111"/>
      <c r="H76" s="111"/>
      <c r="I76" s="111"/>
      <c r="J76" s="111"/>
      <c r="K76" s="84"/>
      <c r="L76" s="1191" t="s">
        <v>491</v>
      </c>
      <c r="M76" s="1176"/>
      <c r="N76" s="1176"/>
      <c r="O76" s="1176"/>
      <c r="P76" s="1176"/>
      <c r="Q76" s="83"/>
      <c r="R76" s="75"/>
      <c r="S76" s="75"/>
      <c r="T76" s="75"/>
      <c r="U76" s="75"/>
      <c r="V76" s="75"/>
      <c r="W76" s="75"/>
      <c r="X76" s="75"/>
      <c r="Y76" s="75"/>
      <c r="Z76" s="75"/>
    </row>
    <row r="77" spans="2:26" ht="5.25" customHeight="1">
      <c r="B77" s="1194"/>
      <c r="C77" s="127"/>
      <c r="D77" s="128"/>
      <c r="E77" s="128"/>
      <c r="F77" s="128"/>
      <c r="G77" s="128"/>
      <c r="H77" s="128"/>
      <c r="I77" s="128"/>
      <c r="J77" s="128"/>
      <c r="K77" s="129"/>
      <c r="L77" s="128"/>
      <c r="M77" s="128"/>
      <c r="N77" s="128"/>
      <c r="O77" s="128"/>
      <c r="P77" s="128"/>
      <c r="Q77" s="130"/>
      <c r="R77" s="75"/>
      <c r="S77" s="75"/>
      <c r="T77" s="75"/>
      <c r="U77" s="75"/>
      <c r="V77" s="75"/>
      <c r="W77" s="75"/>
      <c r="X77" s="75"/>
      <c r="Y77" s="75"/>
      <c r="Z77" s="75"/>
    </row>
    <row r="78" spans="2:26" ht="5.25" customHeight="1">
      <c r="B78" s="1192" t="s">
        <v>492</v>
      </c>
      <c r="C78" s="131"/>
      <c r="D78" s="132"/>
      <c r="E78" s="132"/>
      <c r="F78" s="132"/>
      <c r="G78" s="132"/>
      <c r="H78" s="132"/>
      <c r="I78" s="132"/>
      <c r="J78" s="132"/>
      <c r="K78" s="133"/>
      <c r="L78" s="132"/>
      <c r="M78" s="132"/>
      <c r="N78" s="132"/>
      <c r="O78" s="132"/>
      <c r="P78" s="132"/>
      <c r="Q78" s="134"/>
      <c r="R78" s="75"/>
      <c r="S78" s="75"/>
      <c r="T78" s="75"/>
      <c r="U78" s="75"/>
      <c r="V78" s="75"/>
      <c r="W78" s="75"/>
      <c r="X78" s="75"/>
      <c r="Y78" s="75"/>
      <c r="Z78" s="75"/>
    </row>
    <row r="79" spans="2:26" ht="15.6">
      <c r="B79" s="1151"/>
      <c r="C79" s="82"/>
      <c r="D79" s="111" t="s">
        <v>493</v>
      </c>
      <c r="E79" s="111"/>
      <c r="F79" s="111"/>
      <c r="G79" s="111"/>
      <c r="H79" s="111"/>
      <c r="I79" s="111"/>
      <c r="J79" s="111"/>
      <c r="K79" s="84"/>
      <c r="L79" s="111" t="s">
        <v>494</v>
      </c>
      <c r="M79" s="111"/>
      <c r="N79" s="111"/>
      <c r="O79" s="111"/>
      <c r="P79" s="111"/>
      <c r="Q79" s="83"/>
      <c r="R79" s="75"/>
      <c r="S79" s="75"/>
      <c r="T79" s="75"/>
      <c r="U79" s="75"/>
      <c r="V79" s="75"/>
      <c r="W79" s="75"/>
      <c r="X79" s="75"/>
      <c r="Y79" s="75"/>
      <c r="Z79" s="75"/>
    </row>
    <row r="80" spans="2:26" ht="15.6">
      <c r="B80" s="1151"/>
      <c r="C80" s="82"/>
      <c r="D80" s="111"/>
      <c r="E80" s="111"/>
      <c r="F80" s="111"/>
      <c r="G80" s="111"/>
      <c r="H80" s="111"/>
      <c r="I80" s="111"/>
      <c r="J80" s="111"/>
      <c r="K80" s="84"/>
      <c r="L80" s="111" t="s">
        <v>495</v>
      </c>
      <c r="M80" s="111"/>
      <c r="N80" s="111"/>
      <c r="O80" s="111"/>
      <c r="P80" s="111"/>
      <c r="Q80" s="83"/>
      <c r="R80" s="75"/>
      <c r="S80" s="75"/>
      <c r="T80" s="75"/>
      <c r="U80" s="75"/>
      <c r="V80" s="75"/>
      <c r="W80" s="75"/>
      <c r="X80" s="75"/>
      <c r="Y80" s="75"/>
      <c r="Z80" s="75"/>
    </row>
    <row r="81" spans="2:26" ht="5.25" customHeight="1" thickBot="1">
      <c r="B81" s="1152"/>
      <c r="C81" s="85"/>
      <c r="D81" s="86"/>
      <c r="E81" s="86"/>
      <c r="F81" s="86"/>
      <c r="G81" s="86"/>
      <c r="H81" s="86"/>
      <c r="I81" s="86"/>
      <c r="J81" s="86"/>
      <c r="K81" s="88"/>
      <c r="L81" s="86"/>
      <c r="M81" s="86"/>
      <c r="N81" s="86"/>
      <c r="O81" s="86"/>
      <c r="P81" s="86"/>
      <c r="Q81" s="87"/>
      <c r="R81" s="75"/>
      <c r="S81" s="75"/>
      <c r="T81" s="75"/>
      <c r="U81" s="75"/>
      <c r="V81" s="75"/>
      <c r="W81" s="75"/>
      <c r="X81" s="75"/>
      <c r="Y81" s="75"/>
      <c r="Z81" s="75"/>
    </row>
    <row r="82" spans="2:26" ht="4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2:26" ht="15.6" hidden="1"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2:26" ht="15.6" hidden="1"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2:26" ht="15.6" hidden="1"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2:26" ht="15.6" hidden="1"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2:26" ht="15.6" hidden="1"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2:26" ht="15.6" hidden="1"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2:26" ht="15.6" hidden="1"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2:26" ht="15.6" hidden="1"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2:26" ht="15.6" hidden="1"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2:26" ht="15.6" hidden="1"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2:26" ht="15.6" hidden="1"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2:26" ht="15.6" hidden="1"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2:26" ht="15.6" hidden="1"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2:26" ht="15.6" hidden="1"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2:26" ht="15.6" hidden="1"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2:26" ht="15.6" hidden="1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2:26" ht="15.6" hidden="1"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2:26" ht="15.6" hidden="1"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2:26" ht="15.6" hidden="1"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2:26" ht="15.6" hidden="1"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2:26" ht="15.6" hidden="1"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2:26" ht="15.6" hidden="1"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2:26" ht="15.6" hidden="1"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2:26" ht="15.6" hidden="1"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2:26" ht="15.6" hidden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2:26" ht="15.6" hidden="1"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2:26" ht="15.6" hidden="1"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2:26" ht="15.6" hidden="1"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2:26" ht="15.6" hidden="1"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2:26" ht="15.6" hidden="1"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2:26" ht="15.6" hidden="1"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2:26" ht="15.6" hidden="1"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2:26" ht="15.6" hidden="1"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2:26" ht="15.6" hidden="1"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2:26" ht="15.6" hidden="1"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2:26" ht="15.6" hidden="1"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2:26" ht="15.6" hidden="1"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2:26" ht="15.6" hidden="1"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2:26" ht="15.6" hidden="1"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2:26" ht="15.6" hidden="1"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2:26" ht="15.6" hidden="1"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2:26" ht="15.6" hidden="1"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2:26" ht="15.6" hidden="1"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2:26" ht="15.6" hidden="1"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2:26" ht="15.6" hidden="1"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2:26" ht="15.6" hidden="1"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2:26" ht="15.6" hidden="1"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2:26" ht="15.6" hidden="1"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2:26" ht="15.6" hidden="1"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2:26" ht="15.6" hidden="1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2:26" ht="15.6" hidden="1"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2:26" ht="15.6" hidden="1"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2:26" ht="15.6" hidden="1"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2:26" ht="15.6" hidden="1"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2:26" ht="15.6" hidden="1"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2:26" ht="15.6" hidden="1"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2:26" ht="15.6" hidden="1"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2:26" ht="15.6" hidden="1"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2:26" ht="15.6" hidden="1"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2:26" ht="15.6" hidden="1"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2:26" ht="15.6" hidden="1"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2:26" ht="15.6" hidden="1"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2:26" ht="15.6" hidden="1"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2:26" ht="15.6" hidden="1"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2:26" ht="15.6" hidden="1"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2:26" ht="15.6" hidden="1"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2:26" ht="15.6" hidden="1"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2:26" ht="15.6" hidden="1"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2:26" ht="15.6" hidden="1"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2:26" ht="15.6" hidden="1"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2:26" ht="15.6" hidden="1"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2:26" ht="15.6" hidden="1"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2:26" ht="15.6" hidden="1"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2:26" ht="15.6" hidden="1"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2:26" ht="15.6" hidden="1"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2:26" ht="15.6" hidden="1"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2:26" ht="15.6" hidden="1"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2:26" ht="15.6" hidden="1"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2:26" ht="15.6" hidden="1"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2:26" ht="15.6" hidden="1"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2:26" ht="15.6" hidden="1"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2:26" ht="15.6" hidden="1"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2:26" ht="15.6" hidden="1"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2:26" ht="15.6" hidden="1"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2:26" ht="15.6" hidden="1"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2:26" ht="15.6" hidden="1"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2:26" ht="15.6" hidden="1"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2:26" ht="15.6" hidden="1"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2:26" ht="15.6" hidden="1"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2:26" ht="15.6" hidden="1"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2:26" ht="15.6" hidden="1"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2:26" ht="15.6" hidden="1"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2:26" ht="15.6" hidden="1"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2:26" ht="15.6" hidden="1"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2:26" ht="15.6" hidden="1"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2:26" ht="15.6" hidden="1"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2:26" ht="15.6" hidden="1"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2:26" ht="15.6" hidden="1"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2:26" ht="15.6" hidden="1"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2:26" ht="15.6" hidden="1"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2:26" ht="15.6" hidden="1"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2:26" ht="15.6" hidden="1"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2:26" ht="15.6" hidden="1"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2:26" ht="15.6" hidden="1"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2:26" ht="15.6" hidden="1"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2:26" ht="15.6" hidden="1"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2:26" ht="15.6" hidden="1"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2:26" ht="15.6" hidden="1"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2:26" ht="15.6" hidden="1"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2:26" ht="15.6" hidden="1"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2:26" ht="15.6" hidden="1"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2:26" ht="15.6" hidden="1"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2:26" ht="15.6" hidden="1"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2:26" ht="15.6" hidden="1"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2:26" ht="15.6" hidden="1"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2:26" ht="15.6" hidden="1"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2:26" ht="15.6" hidden="1"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2:26" ht="15.6" hidden="1"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2:26" ht="15.6" hidden="1"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2:26" ht="15.6" hidden="1"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2:26" ht="15.6" hidden="1"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2:26" ht="15.6" hidden="1"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2:26" ht="15.6" hidden="1"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2:26" ht="15.6" hidden="1"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2:26" ht="15.6" hidden="1"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2:26" ht="15.6" hidden="1"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2:26" ht="15.6" hidden="1"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2:26" ht="15.6" hidden="1"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2:26" ht="15.6" hidden="1"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2:26" ht="15.6" hidden="1"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2:26" ht="15.6" hidden="1"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2:26" ht="15.6" hidden="1"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2:26" ht="15.6" hidden="1"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2:26" ht="15.6" hidden="1"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2:26" ht="15.6" hidden="1"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2:26" ht="15.6" hidden="1"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2:26" ht="15.6" hidden="1"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2:26" ht="15.6" hidden="1"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2:26" ht="15.6" hidden="1"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2:26" ht="15.6" hidden="1"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2:26" ht="15.6" hidden="1"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2:26" ht="15.6" hidden="1"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2:26" ht="15.6" hidden="1"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2:26" ht="15.6" hidden="1"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2:26" ht="15.6" hidden="1"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2:26" ht="15.6" hidden="1"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2:26" ht="15.6" hidden="1"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2:26" ht="15.6" hidden="1"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2:26" ht="15.6" hidden="1"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2:26" ht="15.6" hidden="1"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2:26" ht="15.6" hidden="1"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2:26" ht="15.6" hidden="1"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2:26" ht="15.6" hidden="1"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2:26" ht="15.6" hidden="1"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2:26" ht="15.6" hidden="1"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2:26" ht="15.6" hidden="1"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2:26" ht="15.6" hidden="1"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2:26" ht="15.6" hidden="1"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2:26" ht="15.6" hidden="1"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2:26" ht="15.6" hidden="1"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2:26" ht="15.6" hidden="1"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2:26" ht="15.6" hidden="1"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2:26" ht="15.6" hidden="1"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2:26" ht="15.6" hidden="1"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2:26" ht="15.6" hidden="1"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2:26" ht="15.6" hidden="1"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2:26" ht="15.6" hidden="1"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2:26" ht="15.6" hidden="1"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2:26" ht="15.6" hidden="1"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2:26" ht="15.6" hidden="1"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2:26" ht="15.6" hidden="1"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2:26" ht="15.6" hidden="1"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2:26" ht="15.6" hidden="1"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2:26" ht="15.6" hidden="1"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2:26" ht="15.6" hidden="1"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2:26" ht="15.6" hidden="1"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2:26" ht="15.6" hidden="1"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2:26" ht="15.6" hidden="1"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2:26" ht="15.6" hidden="1"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2:26" ht="15.6" hidden="1"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2:26" ht="15.6" hidden="1"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2:26" ht="15.6" hidden="1"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2:26" ht="15.6" hidden="1"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2:26" ht="15.6" hidden="1"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2:26" ht="15.6" hidden="1"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2:26" ht="15.6" hidden="1"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2:26" ht="15.6" hidden="1"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2:26" ht="15.6" hidden="1"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2:26" ht="15.6" hidden="1"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2:26" ht="15.6" hidden="1"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2:26" ht="15.6" hidden="1"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2:26" ht="15.6" hidden="1"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2:26" ht="15.6" hidden="1"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2:26" ht="15.6" hidden="1"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2:26" ht="15.6" hidden="1"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2:26" ht="15.6" hidden="1"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2:26" ht="15.6" hidden="1"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2:26" ht="15.6" hidden="1"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2:26" ht="15.6" hidden="1"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2:26" ht="15.6" hidden="1"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2:26" ht="15.6" hidden="1"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2:26" ht="15.6" hidden="1"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2:26" ht="15.6" hidden="1"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2:26" ht="15.6" hidden="1"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2:26" ht="15.6" hidden="1"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2:26" ht="15.6" hidden="1"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2:26" ht="15.6" hidden="1"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2:26" ht="15.6" hidden="1"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2:26" ht="15.6" hidden="1"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2:26" ht="15.6" hidden="1"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2:26" ht="15.6" hidden="1"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2:26" ht="15.6" hidden="1"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2:26" ht="15.6" hidden="1"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2:26" ht="15.6" hidden="1"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2:26" ht="15.6" hidden="1"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2:26" ht="15.6" hidden="1"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2:26" ht="15.6" hidden="1"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2:26" ht="15.6" hidden="1"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2:26" ht="15.6" hidden="1"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2:26" ht="15.6" hidden="1"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2:26" ht="15.6" hidden="1"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2:26" ht="15.6" hidden="1"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2:26" ht="15.6" hidden="1"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2:26" ht="15.6" hidden="1"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2:26" ht="15.6" hidden="1"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2:26" ht="15.6" hidden="1"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2:26" ht="15.6" hidden="1"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2:26" ht="15.6" hidden="1"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2:26" ht="15.6" hidden="1"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2:26" ht="15.6" hidden="1"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2:26" ht="15.6" hidden="1"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2:26" ht="15.6" hidden="1"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2:26" ht="15.6" hidden="1"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2:26" ht="15.6" hidden="1"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2:26" ht="15.6" hidden="1"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2:26" ht="15.6" hidden="1"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2:26" ht="15.6" hidden="1"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2:26" ht="15.6" hidden="1"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2:26" ht="15.6" hidden="1"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2:26" ht="15.6" hidden="1"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2:26" ht="15.6" hidden="1"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2:26" ht="15.6" hidden="1"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2:26" ht="15.6" hidden="1"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2:26" ht="15.6" hidden="1"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2:26" ht="15.6" hidden="1"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2:26" ht="15.6" hidden="1"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2:26" ht="15.6" hidden="1"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2:26" ht="15.6" hidden="1"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2:26" ht="15.6" hidden="1"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2:26" ht="15.6" hidden="1"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2:26" ht="15.6" hidden="1"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2:26" ht="15.6" hidden="1"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2:26" ht="15.6" hidden="1"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2:26" ht="15.6" hidden="1"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2:26" ht="15.6" hidden="1"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2:26" ht="15.6" hidden="1"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2:26" ht="15.6" hidden="1"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2:26" ht="15.6" hidden="1"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2:26" ht="15.6" hidden="1"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2:26" ht="15.6" hidden="1"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2:26" ht="15.6" hidden="1"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2:26" ht="15.6" hidden="1"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2:26" ht="15.6" hidden="1"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2:26" ht="15.6" hidden="1"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2:26" ht="15.6" hidden="1"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2:26" ht="15.6" hidden="1"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2:26" ht="15.6" hidden="1"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2:26" ht="15.6" hidden="1"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2:26" ht="15.6" hidden="1"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2:26" ht="15.6" hidden="1"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2:26" ht="15.6" hidden="1"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2:26" ht="15.6" hidden="1"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2:26" ht="15.6" hidden="1"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2:26" ht="15.6" hidden="1"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2:26" ht="15.6" hidden="1"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2:26" ht="15.6" hidden="1"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2:26" ht="15.6" hidden="1"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2:26" ht="15.6" hidden="1"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2:26" ht="15.6" hidden="1"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2:26" ht="15.6" hidden="1"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2:26" ht="15.6" hidden="1"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2:26" ht="15.6" hidden="1"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2:26" ht="15.6" hidden="1"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2:26" ht="15.6" hidden="1"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2:26" ht="15.6" hidden="1"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2:26" ht="15.6" hidden="1"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2:26" ht="15.6" hidden="1"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2:26" ht="15.6" hidden="1"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2:26" ht="15.6" hidden="1"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2:26" ht="15.6" hidden="1"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2:26" ht="15.6" hidden="1"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2:26" ht="15.6" hidden="1"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2:26" ht="15.6" hidden="1"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2:26" ht="15.6" hidden="1"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2:26" ht="15.6" hidden="1"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2:26" ht="15.6" hidden="1"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2:26" ht="15.6" hidden="1"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2:26" ht="15.6" hidden="1"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2:26" ht="15.6" hidden="1"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2:26" ht="15.6" hidden="1"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2:26" ht="15.6" hidden="1"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2:26" ht="15.6" hidden="1"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2:26" ht="15.6" hidden="1"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2:26" ht="15.6" hidden="1"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2:26" ht="15.6" hidden="1"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2:26" ht="15.6" hidden="1"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2:26" ht="15.6" hidden="1"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2:26" ht="15.6" hidden="1"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2:26" ht="15.6" hidden="1"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2:26" ht="15.6" hidden="1"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2:26" ht="15.6" hidden="1"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2:26" ht="15.6" hidden="1"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2:26" ht="15.6" hidden="1"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2:26" ht="15.6" hidden="1"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2:26" ht="15.6" hidden="1"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2:26" ht="15.6" hidden="1"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2:26" ht="15.6" hidden="1"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2:26" ht="15.6" hidden="1"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2:26" ht="15.6" hidden="1"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2:26" ht="15.6" hidden="1"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2:26" ht="15.6" hidden="1"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2:26" ht="15.6" hidden="1"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2:26" ht="15.6" hidden="1"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2:26" ht="15.6" hidden="1"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2:26" ht="15.6" hidden="1"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2:26" ht="15.6" hidden="1"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2:26" ht="15.6" hidden="1"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2:26" ht="15.6" hidden="1"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2:26" ht="15.6" hidden="1"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2:26" ht="15.6" hidden="1"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2:26" ht="15.6" hidden="1"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2:26" ht="15.6" hidden="1"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2:26" ht="15.6" hidden="1"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2:26" ht="15.6" hidden="1"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2:26" ht="15.6" hidden="1"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2:26" ht="15.6" hidden="1"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2:26" ht="15.6" hidden="1"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2:26" ht="15.6" hidden="1"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2:26" ht="15.6" hidden="1"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2:26" ht="15.6" hidden="1"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2:26" ht="15.6" hidden="1"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2:26" ht="15.6" hidden="1"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2:26" ht="15.6" hidden="1"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2:26" ht="15.6" hidden="1"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2:26" ht="15.6" hidden="1"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2:26" ht="15.6" hidden="1"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2:26" ht="15.6" hidden="1"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2:26" ht="15.6" hidden="1"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2:26" ht="15.6" hidden="1"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2:26" ht="15.6" hidden="1"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2:26" ht="15.6" hidden="1"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2:26" ht="15.6" hidden="1"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2:26" ht="15.6" hidden="1"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2:26" ht="15.6" hidden="1"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2:26" ht="15.6" hidden="1"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2:26" ht="15.6" hidden="1"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2:26" ht="15.6" hidden="1"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2:26" ht="15.6" hidden="1"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2:26" ht="15.6" hidden="1"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2:26" ht="15.6" hidden="1"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2:26" ht="15.6" hidden="1"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2:26" ht="15.6" hidden="1"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2:26" ht="15.6" hidden="1"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2:26" ht="15.6" hidden="1"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2:26" ht="15.6" hidden="1"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2:26" ht="15.6" hidden="1"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2:26" ht="15.6" hidden="1"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2:26" ht="15.6" hidden="1"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2:26" ht="15.6" hidden="1"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2:26" ht="15.6" hidden="1"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2:26" ht="15.6" hidden="1"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2:26" ht="15.6" hidden="1"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2:26" ht="15.6" hidden="1"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2:26" ht="15.6" hidden="1"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2:26" ht="15.6" hidden="1"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2:26" ht="15.6" hidden="1"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2:26" ht="15.6" hidden="1"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2:26" ht="15.6" hidden="1"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2:26" ht="15.6" hidden="1"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2:26" ht="15.6" hidden="1"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2:26" ht="15.6" hidden="1"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2:26" ht="15.6" hidden="1"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2:26" ht="15.6" hidden="1"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2:26" ht="15.6" hidden="1"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2:26" ht="15.6" hidden="1"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2:26" ht="15.6" hidden="1"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2:26" ht="15.6" hidden="1"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2:26" ht="15.6" hidden="1"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2:26" ht="15.6" hidden="1"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2:26" ht="15.6" hidden="1"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2:26" ht="15.6" hidden="1"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2:26" ht="15.6" hidden="1"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2:26" ht="15.6" hidden="1"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2:26" ht="15.6" hidden="1"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2:26" ht="15.6" hidden="1"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2:26" ht="15.6" hidden="1"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2:26" ht="15.6" hidden="1"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2:26" ht="15.6" hidden="1"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2:26" ht="15.6" hidden="1"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2:26" ht="15.6" hidden="1"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2:26" ht="15.6" hidden="1"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2:26" ht="15.6" hidden="1"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2:26" ht="15.6" hidden="1"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2:26" ht="15.6" hidden="1"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2:26" ht="15.6" hidden="1"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2:26" ht="15.6" hidden="1"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2:26" ht="15.6" hidden="1"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2:26" ht="15.6" hidden="1"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2:26" ht="15.6" hidden="1"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2:26" ht="15.6" hidden="1"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2:26" ht="15.6" hidden="1"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2:26" ht="15.6" hidden="1"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2:26" ht="15.6" hidden="1"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2:26" ht="15.6" hidden="1"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2:26" ht="15.6" hidden="1"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2:26" ht="15.6" hidden="1"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2:26" ht="15.6" hidden="1"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2:26" ht="15.6" hidden="1"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2:26" ht="15.6" hidden="1"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2:26" ht="15.6" hidden="1"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2:26" ht="15.6" hidden="1"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2:26" ht="15.6" hidden="1"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2:26" ht="15.6" hidden="1"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2:26" ht="15.6" hidden="1"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2:26" ht="15.6" hidden="1"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2:26" ht="15.6" hidden="1"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2:26" ht="15.6" hidden="1"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2:26" ht="15.6" hidden="1"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2:26" ht="15.6" hidden="1"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2:26" ht="15.6" hidden="1"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2:26" ht="15.6" hidden="1"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2:26" ht="15.6" hidden="1"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2:26" ht="15.6" hidden="1"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2:26" ht="15.6" hidden="1"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2:26" ht="15.6" hidden="1"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2:26" ht="15.6" hidden="1"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2:26" ht="15.6" hidden="1"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2:26" ht="15.6" hidden="1"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2:26" ht="15.6" hidden="1"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2:26" ht="15.6" hidden="1"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2:26" ht="15.6" hidden="1"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2:26" ht="15.6" hidden="1"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2:26" ht="15.6" hidden="1"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2:26" ht="15.6" hidden="1"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2:26" ht="15.6" hidden="1"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2:26" ht="15.6" hidden="1"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2:26" ht="15.6" hidden="1"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2:26" ht="15.6" hidden="1"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2:26" ht="15.6" hidden="1"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2:26" ht="15.6" hidden="1"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2:26" ht="15.6" hidden="1"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2:26" ht="15.6" hidden="1"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2:26" ht="15.6" hidden="1"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2:26" ht="15.6" hidden="1"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2:26" ht="15.6" hidden="1"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2:26" ht="15.6" hidden="1"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2:26" ht="15.6" hidden="1"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2:26" ht="15.6" hidden="1"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2:26" ht="15.6" hidden="1"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2:26" ht="15.6" hidden="1"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2:26" ht="15.6" hidden="1"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2:26" ht="15.6" hidden="1"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2:26" ht="15.6" hidden="1"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2:26" ht="15.6" hidden="1"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2:26" ht="15.6" hidden="1"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2:26" ht="15.6" hidden="1"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2:26" ht="15.6" hidden="1"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2:26" ht="15.6" hidden="1"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2:26" ht="15.6" hidden="1"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2:26" ht="15.6" hidden="1"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2:26" ht="15.6" hidden="1"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2:26" ht="15.6" hidden="1"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2:26" ht="15.6" hidden="1"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2:26" ht="15.6" hidden="1"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2:26" ht="15.6" hidden="1"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2:26" ht="15.6" hidden="1"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2:26" ht="15.6" hidden="1"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2:26" ht="15.6" hidden="1"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2:26" ht="15.6" hidden="1"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2:26" ht="15.6" hidden="1"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2:26" ht="15.6" hidden="1"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2:26" ht="15.6" hidden="1"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2:26" ht="15.6" hidden="1"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2:26" ht="15.6" hidden="1"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2:26" ht="15.6" hidden="1"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2:26" ht="15.6" hidden="1"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2:26" ht="15.6" hidden="1"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2:26" ht="15.6" hidden="1"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2:26" ht="15.6" hidden="1"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2:26" ht="15.6" hidden="1"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2:26" ht="15.6" hidden="1"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2:26" ht="15.6" hidden="1"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2:26" ht="15.6" hidden="1"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2:26" ht="15.6" hidden="1"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2:26" ht="15.6" hidden="1"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2:26" ht="15.6" hidden="1"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2:26" ht="15.6" hidden="1"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2:26" ht="15.6" hidden="1"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2:26" ht="15.6" hidden="1"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2:26" ht="15.6" hidden="1"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2:26" ht="15.6" hidden="1"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2:26" ht="15.6" hidden="1"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2:26" ht="15.6" hidden="1"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2:26" ht="15.6" hidden="1"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2:26" ht="15.6" hidden="1"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2:26" ht="15.6" hidden="1"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2:26" ht="15.6" hidden="1"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2:26" ht="15.6" hidden="1"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2:26" ht="15.6" hidden="1"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2:26" ht="15.6" hidden="1"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2:26" ht="15.6" hidden="1"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2:26" ht="15.6" hidden="1"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2:26" ht="15.6" hidden="1"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2:26" ht="15.6" hidden="1"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2:26" ht="15.6" hidden="1"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2:26" ht="15.6" hidden="1"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2:26" ht="15.6" hidden="1"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2:26" ht="15.6" hidden="1"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2:26" ht="15.6" hidden="1"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2:26" ht="15.6" hidden="1"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2:26" ht="15.6" hidden="1"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2:26" ht="15.6" hidden="1"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2:26" ht="15.6" hidden="1"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2:26" ht="15.6" hidden="1"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2:26" ht="15.6" hidden="1"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2:26" ht="15.6" hidden="1"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2:26" ht="15.6" hidden="1"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2:26" ht="15.6" hidden="1"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2:26" ht="15.6" hidden="1"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2:26" ht="15.6" hidden="1"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2:26" ht="15.6" hidden="1"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2:26" ht="15.6" hidden="1"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2:26" ht="15.6" hidden="1"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2:26" ht="15.6" hidden="1"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2:26" ht="15.6" hidden="1"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2:26" ht="15.6" hidden="1"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2:26" ht="15.6" hidden="1"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2:26" ht="15.6" hidden="1"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2:26" ht="15.6" hidden="1"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2:26" ht="15.6" hidden="1"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2:26" ht="15.6" hidden="1"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2:26" ht="15.6" hidden="1"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2:26" ht="15.6" hidden="1"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2:26" ht="15.6" hidden="1"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2:26" ht="15.6" hidden="1"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2:26" ht="15.6" hidden="1"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2:26" ht="15.6" hidden="1"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2:26" ht="15.6" hidden="1"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2:26" ht="15.6" hidden="1"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2:26" ht="15.6" hidden="1"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2:26" ht="15.6" hidden="1"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2:26" ht="15.6" hidden="1"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2:26" ht="15.6" hidden="1"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2:26" ht="15.6" hidden="1"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2:26" ht="15.6" hidden="1"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2:26" ht="15.6" hidden="1"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2:26" ht="15.6" hidden="1"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2:26" ht="15.6" hidden="1"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2:26" ht="15.6" hidden="1"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2:26" ht="15.6" hidden="1"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2:26" ht="15.6" hidden="1"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2:26" ht="15.6" hidden="1"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2:26" ht="15.6" hidden="1"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2:26" ht="15.6" hidden="1"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2:26" ht="15.6" hidden="1"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2:26" ht="15.6" hidden="1"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2:26" ht="15.6" hidden="1"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2:26" ht="15.6" hidden="1"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2:26" ht="15.6" hidden="1"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2:26" ht="15.6" hidden="1"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2:26" ht="15.6" hidden="1"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2:26" ht="15.6" hidden="1"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2:26" ht="15.6" hidden="1"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2:26" ht="15.6" hidden="1"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2:26" ht="15.6" hidden="1"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2:26" ht="15.6" hidden="1"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2:26" ht="15.6" hidden="1"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2:26" ht="15.6" hidden="1"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2:26" ht="15.6" hidden="1"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2:26" ht="15.6" hidden="1"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2:26" ht="15.6" hidden="1"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2:26" ht="15.6" hidden="1"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2:26" ht="15.6" hidden="1"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2:26" ht="15.6" hidden="1"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2:26" ht="15.6" hidden="1"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2:26" ht="15.6" hidden="1"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2:26" ht="15.6" hidden="1"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2:26" ht="15.6" hidden="1"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2:26" ht="15.6" hidden="1"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2:26" ht="15.6" hidden="1"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2:26" ht="15.6" hidden="1"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2:26" ht="15.6" hidden="1"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2:26" ht="15.6" hidden="1"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2:26" ht="15.6" hidden="1"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2:26" ht="15.6" hidden="1"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2:26" ht="15.6" hidden="1"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2:26" ht="15.6" hidden="1"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2:26" ht="15.6" hidden="1"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2:26" ht="15.6" hidden="1"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2:26" ht="15.6" hidden="1"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2:26" ht="15.6" hidden="1"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2:26" ht="15.6" hidden="1"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2:26" ht="15.6" hidden="1"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2:26" ht="15.6" hidden="1"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2:26" ht="15.6" hidden="1"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2:26" ht="15.6" hidden="1"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2:26" ht="15.6" hidden="1"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2:26" ht="15.6" hidden="1"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2:26" ht="15.6" hidden="1"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2:26" ht="15.6" hidden="1"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2:26" ht="15.6" hidden="1"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2:26" ht="15.6" hidden="1"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2:26" ht="15.6" hidden="1"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2:26" ht="15.6" hidden="1"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2:26" ht="15.6" hidden="1"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2:26" ht="15.6" hidden="1"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2:26" ht="15.6" hidden="1"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2:26" ht="15.6" hidden="1"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2:26" ht="15.6" hidden="1"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2:26" ht="15.6" hidden="1"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2:26" ht="15.6" hidden="1"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2:26" ht="15.6" hidden="1"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2:26" ht="15.6" hidden="1"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2:26" ht="15.6" hidden="1"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2:26" ht="15.6" hidden="1"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2:26" ht="15.6" hidden="1"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2:26" ht="15.6" hidden="1"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2:26" ht="15.6" hidden="1"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2:26" ht="15.6" hidden="1"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2:26" ht="15.6" hidden="1"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2:26" ht="15.6" hidden="1"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2:26" ht="15.6" hidden="1"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2:26" ht="15.6" hidden="1"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2:26" ht="15.6" hidden="1"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2:26" ht="15.6" hidden="1"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2:26" ht="15.6" hidden="1"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2:26" ht="15.6" hidden="1"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2:26" ht="15.6" hidden="1"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2:26" ht="15.6" hidden="1"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2:26" ht="15.6" hidden="1"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2:26" ht="15.6" hidden="1"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2:26" ht="15.6" hidden="1"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2:26" ht="15.6" hidden="1"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2:26" ht="15.6" hidden="1"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2:26" ht="15.6" hidden="1"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2:26" ht="15.6" hidden="1"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2:26" ht="15.6" hidden="1"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2:26" ht="15.6" hidden="1"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2:26" ht="15.6" hidden="1"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2:26" ht="15.6" hidden="1"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2:26" ht="15.6" hidden="1"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2:26" ht="15.6" hidden="1"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2:26" ht="15.6" hidden="1"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2:26" ht="15.6" hidden="1"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2:26" ht="15.6" hidden="1"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2:26" ht="15.6" hidden="1"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2:26" ht="15.6" hidden="1"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2:26" ht="15.6" hidden="1"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2:26" ht="15.6" hidden="1"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2:26" ht="15.6" hidden="1"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2:26" ht="15.6" hidden="1"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2:26" ht="15.6" hidden="1"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2:26" ht="15.6" hidden="1"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2:26" ht="15.6" hidden="1"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2:26" ht="15.6" hidden="1"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2:26" ht="15.6" hidden="1"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2:26" ht="15.6" hidden="1"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2:26" ht="15.6" hidden="1"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2:26" ht="15.6" hidden="1"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2:26" ht="15.6" hidden="1"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2:26" ht="15.6" hidden="1"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2:26" ht="15.6" hidden="1"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2:26" ht="15.6" hidden="1"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2:26" ht="15.6" hidden="1"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2:26" ht="15.6" hidden="1"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2:26" ht="15.6" hidden="1"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2:26" ht="15.6" hidden="1"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2:26" ht="15.6" hidden="1"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2:26" ht="15.6" hidden="1"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2:26" ht="15.6" hidden="1"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2:26" ht="15.6" hidden="1"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2:26" ht="15.6" hidden="1"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2:26" ht="15.6" hidden="1"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2:26" ht="15.6" hidden="1"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2:26" ht="15.6" hidden="1"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2:26" ht="15.6" hidden="1"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2:26" ht="15.6" hidden="1"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2:26" ht="15.6" hidden="1"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2:26" ht="15.6" hidden="1"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2:26" ht="15.6" hidden="1"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2:26" ht="15.6" hidden="1"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2:26" ht="15.6" hidden="1"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2:26" ht="15.6" hidden="1"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2:26" ht="15.6" hidden="1"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2:26" ht="15.6" hidden="1"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2:26" ht="15.6" hidden="1"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2:26" ht="15.6" hidden="1"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2:26" ht="15.6" hidden="1"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2:26" ht="15.6" hidden="1"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2:26" ht="15.6" hidden="1"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2:26" ht="15.6" hidden="1"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2:26" ht="15.6" hidden="1"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2:26" ht="15.6" hidden="1"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2:26" ht="15.6" hidden="1"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2:26" ht="15.6" hidden="1"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2:26" ht="15.6" hidden="1"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2:26" ht="15.6" hidden="1"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2:26" ht="15.6" hidden="1"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2:26" ht="15.6" hidden="1"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2:26" ht="15.6" hidden="1"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2:26" ht="15.6" hidden="1"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2:26" ht="15.6" hidden="1"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2:26" ht="15.6" hidden="1"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2:26" ht="15.6" hidden="1"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2:26" ht="15.6" hidden="1"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2:26" ht="15.6" hidden="1"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2:26" ht="15.6" hidden="1"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2:26" ht="15.6" hidden="1"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2:26" ht="15.6" hidden="1"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2:26" ht="15.6" hidden="1"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2:26" ht="15.6" hidden="1"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2:26" ht="15.6" hidden="1"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2:26" ht="15.6" hidden="1"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2:26" ht="15.6" hidden="1"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2:26" ht="15.6" hidden="1"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2:26" ht="15.6" hidden="1"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2:26" ht="15.6" hidden="1"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2:26" ht="15.6" hidden="1"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2:26" ht="15.6" hidden="1"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2:26" ht="15.6" hidden="1"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2:26" ht="15.6" hidden="1"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2:26" ht="15.6" hidden="1"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2:26" ht="15.6" hidden="1"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2:26" ht="15.6" hidden="1"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2:26" ht="15.6" hidden="1"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2:26" ht="15.6" hidden="1"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2:26" ht="15.6" hidden="1"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2:26" ht="15.6" hidden="1"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2:26" ht="15.6" hidden="1"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2:26" ht="15.6" hidden="1"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2:26" ht="15.6" hidden="1"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2:26" ht="15.6" hidden="1"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2:26" ht="15.6" hidden="1"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2:26" ht="15.6" hidden="1"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2:26" ht="15.6" hidden="1"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2:26" ht="15.6" hidden="1"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2:26" ht="15.6" hidden="1"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2:26" ht="15.6" hidden="1"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2:26" ht="15.6" hidden="1"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2:26" ht="15.6" hidden="1"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2:26" ht="15.6" hidden="1"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2:26" ht="15.6" hidden="1"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2:26" ht="15.6" hidden="1"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2:26" ht="15.6" hidden="1"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2:26" ht="15.6" hidden="1"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2:26" ht="15.6" hidden="1"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2:26" ht="15.6" hidden="1"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2:26" ht="15.6" hidden="1"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2:26" ht="15.6" hidden="1"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2:26" ht="15.6" hidden="1"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2:26" ht="15.6" hidden="1"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2:26" ht="15.6" hidden="1"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2:26" ht="15.6" hidden="1"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2:26" ht="15.6" hidden="1"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2:26" ht="15.6" hidden="1"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2:26" ht="15.6" hidden="1"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2:26" ht="15.6" hidden="1"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2:26" ht="15.6" hidden="1"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2:26" ht="15.6" hidden="1"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2:26" ht="15.6" hidden="1"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2:26" ht="15.6" hidden="1"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2:26" ht="15.6" hidden="1"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2:26" ht="15.6" hidden="1"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2:26" ht="15.6" hidden="1"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2:26" ht="15.6" hidden="1"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2:26" ht="15.6" hidden="1"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2:26" ht="15.6" hidden="1"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2:26" ht="15.6" hidden="1"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2:26" ht="15.6" hidden="1"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2:26" ht="15.6" hidden="1"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2:26" ht="15.6" hidden="1"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2:26" ht="15.6" hidden="1"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2:26" ht="15.6" hidden="1"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2:26" ht="15.6" hidden="1"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2:26" ht="15.6" hidden="1"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2:26" ht="15.6" hidden="1"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2:26" ht="15.6" hidden="1"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2:26" ht="15.6" hidden="1"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2:26" ht="15.6" hidden="1"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2:26" ht="15.6" hidden="1"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2:26" ht="15.6" hidden="1"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2:26" ht="15.6" hidden="1"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2:26" ht="15.6" hidden="1"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2:26" ht="15.6" hidden="1"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2:26" ht="15.6" hidden="1"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2:26" ht="15.6" hidden="1"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2:26" ht="15.6" hidden="1"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2:26" ht="15.6" hidden="1"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2:26" ht="15.6" hidden="1"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2:26" ht="15.6" hidden="1"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2:26" ht="15.6" hidden="1"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2:26" ht="15.6" hidden="1"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2:26" ht="15.6" hidden="1"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2:26" ht="15.6" hidden="1"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2:26" ht="15.6" hidden="1"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2:26" ht="15.6" hidden="1"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2:26" ht="15.6" hidden="1"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2:26" ht="15.6" hidden="1"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2:26" ht="15.6" hidden="1"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2:26" ht="15.6" hidden="1"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2:26" ht="15.6" hidden="1"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2:26" ht="15.6" hidden="1"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2:26" ht="15.6" hidden="1"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2:26" ht="15.6" hidden="1"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2:26" ht="15.6" hidden="1"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2:26" ht="15.6" hidden="1"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2:26" ht="15.6" hidden="1"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2:26" ht="15.6" hidden="1"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2:26" ht="15.6" hidden="1"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2:26" ht="15.6" hidden="1"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2:26" ht="15.6" hidden="1"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2:26" ht="15.6" hidden="1"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2:26" ht="15.6" hidden="1"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2:26" ht="15.6" hidden="1"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2:26" ht="15.6" hidden="1"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2:26" ht="15.6" hidden="1"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2:26" ht="15.6" hidden="1"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2:26" ht="15.6" hidden="1"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2:26" ht="15.6" hidden="1"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2:26" ht="15.6" hidden="1"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2:26" ht="15.6" hidden="1"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2:26" ht="15.6" hidden="1"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2:26" ht="15.6" hidden="1"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2:26" ht="15.6" hidden="1"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2:26" ht="15.6" hidden="1"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2:26" ht="15.6" hidden="1"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2:26" ht="15.6" hidden="1"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2:26" ht="15.6" hidden="1"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2:26" ht="15.6" hidden="1"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2:26" ht="15.6" hidden="1"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2:26" ht="15.6" hidden="1"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2:26" ht="15.6" hidden="1"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2:26" ht="15.6" hidden="1"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2:26" ht="15.6" hidden="1"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2:26" ht="15.6" hidden="1"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2:26" ht="15.6" hidden="1"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2:26" ht="15.6" hidden="1"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2:26" ht="15.6" hidden="1"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2:26" ht="15.6" hidden="1"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2:26" ht="15.6" hidden="1"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2:26" ht="15.6" hidden="1"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2:26" ht="15.6" hidden="1"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2:26" ht="15.6" hidden="1"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2:26" ht="15.6" hidden="1"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2:26" ht="15.6" hidden="1"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2:26" ht="15.6" hidden="1"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2:26" ht="15.6" hidden="1"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2:26" ht="15.6" hidden="1"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2:26" ht="15.6" hidden="1"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2:26" ht="15.6" hidden="1"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2:26" ht="15.6" hidden="1"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2:26" ht="15.6" hidden="1"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2:26" ht="15.6" hidden="1"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2:26" ht="15.6" hidden="1"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2:26" ht="15.6" hidden="1"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2:26" ht="15.6" hidden="1"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2:26" ht="15.6" hidden="1"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2:26" ht="15.6" hidden="1"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2:26" ht="15.6" hidden="1"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2:26" ht="15.6" hidden="1"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2:26" ht="15.6" hidden="1"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2:26" ht="15.6" hidden="1"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2:26" ht="15.6" hidden="1"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2:26" ht="15.6" hidden="1"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2:26" ht="15.6" hidden="1"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2:26" ht="15.6" hidden="1"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2:26" ht="15.6" hidden="1"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2:26" ht="15.6" hidden="1"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2:26" ht="15.6" hidden="1"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2:26" ht="15.6" hidden="1"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2:26" ht="15.6" hidden="1"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2:26" ht="15.6" hidden="1"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2:26" ht="15.6" hidden="1"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2:26" ht="15.6" hidden="1"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2:26" ht="15.6" hidden="1"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2:26" ht="15.6" hidden="1"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2:26" ht="15.6" hidden="1"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2:26" ht="15.6" hidden="1"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2:26" ht="15.6" hidden="1"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2:26" ht="15.6" hidden="1"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2:26" ht="15.6" hidden="1"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2:26" ht="15.6" hidden="1"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2:26" ht="15.6" hidden="1"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2:26" ht="15.6" hidden="1"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2:26" ht="15.6" hidden="1"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2:26" ht="15.6" hidden="1"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2:26" ht="15.6" hidden="1"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2:26" ht="15.6" hidden="1"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2:26" ht="15.6" hidden="1"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2:26" ht="15.6" hidden="1"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2:26" ht="15.6" hidden="1"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2:26" ht="15.6" hidden="1"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2:26" ht="15.6" hidden="1"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2:26" ht="15.6" hidden="1"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2:26" ht="15.6" hidden="1"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2:26" ht="15.6" hidden="1"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2:26" ht="15.6" hidden="1"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2:26" ht="15.6" hidden="1"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2:26" ht="15.6" hidden="1"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2:26" ht="15.6" hidden="1"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spans="2:26" ht="15.6" hidden="1"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spans="2:26" ht="15.6" hidden="1"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spans="2:26" ht="15.6" hidden="1"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spans="2:26" ht="15.6" hidden="1"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spans="2:26" ht="15.6" hidden="1"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spans="2:26" ht="15.6" hidden="1"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spans="2:26" ht="15.6" hidden="1"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4</vt:i4>
      </vt:variant>
    </vt:vector>
  </HeadingPairs>
  <TitlesOfParts>
    <vt:vector size="14" baseType="lpstr">
      <vt:lpstr>교육과정편제표(항공기계과)</vt:lpstr>
      <vt:lpstr>교육과정편제표(항공전기전자과)</vt:lpstr>
      <vt:lpstr>교육과정편제표(지형공간디자인과)</vt:lpstr>
      <vt:lpstr>교육과정편제표(바이오제약과)</vt:lpstr>
      <vt:lpstr>실무과목 능력단위(항공기계과)</vt:lpstr>
      <vt:lpstr>실무과목 능력단위(항공전기전자과)</vt:lpstr>
      <vt:lpstr>실무과목 능력단위(지형공간디자인과)</vt:lpstr>
      <vt:lpstr>실무과목 능력단위(바이오제약과)</vt:lpstr>
      <vt:lpstr>삭제금지</vt:lpstr>
      <vt:lpstr>(참고1) 편성 기준🔐</vt:lpstr>
      <vt:lpstr>'교육과정편제표(바이오제약과)'!Print_Area</vt:lpstr>
      <vt:lpstr>'교육과정편제표(지형공간디자인과)'!Print_Area</vt:lpstr>
      <vt:lpstr>'교육과정편제표(항공기계과)'!Print_Area</vt:lpstr>
      <vt:lpstr>'교육과정편제표(항공전기전자과)'!Print_Area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예지 김</cp:lastModifiedBy>
  <cp:lastPrinted>2026-10-22T07:29:42Z</cp:lastPrinted>
  <dcterms:created xsi:type="dcterms:W3CDTF">2020-03-04T02:26:59Z</dcterms:created>
  <dcterms:modified xsi:type="dcterms:W3CDTF">2026-10-23T01:42:38Z</dcterms:modified>
</cp:coreProperties>
</file>