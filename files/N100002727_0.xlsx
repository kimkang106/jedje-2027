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\Desktop\"/>
    </mc:Choice>
  </mc:AlternateContent>
  <xr:revisionPtr revIDLastSave="0" documentId="13_ncr:1_{CA7B42D2-56F9-4843-910F-8BA7897E7324}" xr6:coauthVersionLast="36" xr6:coauthVersionMax="36" xr10:uidLastSave="{00000000-0000-0000-0000-000000000000}"/>
  <bookViews>
    <workbookView xWindow="-120" yWindow="-120" windowWidth="29040" windowHeight="15720" tabRatio="795" activeTab="3" xr2:uid="{00000000-000D-0000-FFFF-FFFF00000000}"/>
  </bookViews>
  <sheets>
    <sheet name="교육과정편제표(비즈니스과)(2027)" sheetId="8" r:id="rId1"/>
    <sheet name="실무과목 능력단위(비즈니스과)(2027)" sheetId="14" r:id="rId2"/>
    <sheet name="교육과정편제표(바이오식품과)(2027)" sheetId="17" r:id="rId3"/>
    <sheet name="실무과목 능력단위(바이오식품과)(2027)" sheetId="18" r:id="rId4"/>
    <sheet name="삭제금지" sheetId="4" r:id="rId5"/>
    <sheet name="(참고1) 편성 기준🔐" sheetId="16" r:id="rId6"/>
  </sheets>
  <definedNames>
    <definedName name="_xlnm._FilterDatabase" localSheetId="2" hidden="1">'교육과정편제표(바이오식품과)(2027)'!$M$3:$P$4</definedName>
    <definedName name="_xlnm._FilterDatabase" localSheetId="0" hidden="1">'교육과정편제표(비즈니스과)(2027)'!$M$3:$P$4</definedName>
    <definedName name="_xlnm._FilterDatabase" localSheetId="4" hidden="1">삭제금지!$A$1:$F$151</definedName>
    <definedName name="_xlnm._FilterDatabase" localSheetId="3" hidden="1">'실무과목 능력단위(바이오식품과)(2027)'!#REF!</definedName>
    <definedName name="_xlnm._FilterDatabase" localSheetId="1" hidden="1">'실무과목 능력단위(비즈니스과)(2027)'!#REF!</definedName>
    <definedName name="_xlnm.Print_Area" localSheetId="2">'교육과정편제표(바이오식품과)(2027)'!$A$1:$AE$60</definedName>
    <definedName name="_xlnm.Print_Area" localSheetId="0">'교육과정편제표(비즈니스과)(2027)'!$A$1:$AE$64</definedName>
  </definedNames>
  <calcPr calcId="191029"/>
</workbook>
</file>

<file path=xl/calcChain.xml><?xml version="1.0" encoding="utf-8"?>
<calcChain xmlns="http://schemas.openxmlformats.org/spreadsheetml/2006/main">
  <c r="U16" i="18" l="1"/>
  <c r="U15" i="18"/>
  <c r="I15" i="18"/>
  <c r="K17" i="18"/>
  <c r="K16" i="18"/>
  <c r="W34" i="17"/>
  <c r="H23" i="18" l="1"/>
  <c r="J23" i="18"/>
  <c r="F44" i="14" l="1"/>
  <c r="T43" i="14"/>
  <c r="T42" i="14"/>
  <c r="T41" i="14"/>
  <c r="T39" i="14"/>
  <c r="T38" i="14"/>
  <c r="T37" i="14"/>
  <c r="T40" i="14" s="1"/>
  <c r="T35" i="14"/>
  <c r="T34" i="14"/>
  <c r="T33" i="14"/>
  <c r="T32" i="14"/>
  <c r="T30" i="14"/>
  <c r="T29" i="14"/>
  <c r="T28" i="14"/>
  <c r="T27" i="14"/>
  <c r="T31" i="14" s="1"/>
  <c r="T25" i="14"/>
  <c r="T24" i="14"/>
  <c r="T23" i="14"/>
  <c r="T21" i="14"/>
  <c r="T20" i="14"/>
  <c r="T19" i="14"/>
  <c r="T18" i="14"/>
  <c r="T16" i="14"/>
  <c r="T15" i="14"/>
  <c r="T14" i="14"/>
  <c r="T17" i="14" s="1"/>
  <c r="T13" i="14"/>
  <c r="J18" i="18"/>
  <c r="L18" i="18"/>
  <c r="L23" i="18" s="1"/>
  <c r="N18" i="18"/>
  <c r="N23" i="18" s="1"/>
  <c r="P18" i="18"/>
  <c r="R18" i="18"/>
  <c r="H18" i="18"/>
  <c r="H13" i="18"/>
  <c r="R13" i="18"/>
  <c r="P13" i="18"/>
  <c r="N13" i="18"/>
  <c r="O13" i="18" s="1"/>
  <c r="L13" i="18"/>
  <c r="M13" i="18" s="1"/>
  <c r="J13" i="18"/>
  <c r="G51" i="18"/>
  <c r="G47" i="18"/>
  <c r="G43" i="18"/>
  <c r="G38" i="18"/>
  <c r="G33" i="18"/>
  <c r="G28" i="18"/>
  <c r="G23" i="18"/>
  <c r="G18" i="18"/>
  <c r="G13" i="18"/>
  <c r="F18" i="18"/>
  <c r="T17" i="18"/>
  <c r="U17" i="18"/>
  <c r="W42" i="17"/>
  <c r="T44" i="14" l="1"/>
  <c r="T26" i="14"/>
  <c r="T22" i="14"/>
  <c r="T36" i="14"/>
  <c r="S29" i="14"/>
  <c r="Q28" i="14"/>
  <c r="F31" i="14"/>
  <c r="R51" i="18"/>
  <c r="R47" i="18"/>
  <c r="P43" i="18"/>
  <c r="R43" i="18"/>
  <c r="P38" i="18"/>
  <c r="R38" i="18"/>
  <c r="P33" i="18"/>
  <c r="R33" i="18"/>
  <c r="P28" i="18"/>
  <c r="R28" i="18"/>
  <c r="G22" i="14"/>
  <c r="S10" i="14"/>
  <c r="S11" i="14"/>
  <c r="S13" i="14"/>
  <c r="S14" i="14"/>
  <c r="S15" i="14"/>
  <c r="S16" i="14"/>
  <c r="S17" i="14"/>
  <c r="S18" i="14"/>
  <c r="S19" i="14"/>
  <c r="S20" i="14"/>
  <c r="S21" i="14"/>
  <c r="S23" i="14"/>
  <c r="S24" i="14"/>
  <c r="S25" i="14"/>
  <c r="S27" i="14"/>
  <c r="S30" i="14"/>
  <c r="S32" i="14"/>
  <c r="S33" i="14"/>
  <c r="S34" i="14"/>
  <c r="S35" i="14"/>
  <c r="S37" i="14"/>
  <c r="S38" i="14"/>
  <c r="S39" i="14"/>
  <c r="S41" i="14"/>
  <c r="S42" i="14"/>
  <c r="S43" i="14"/>
  <c r="Q10" i="14"/>
  <c r="Q11" i="14"/>
  <c r="Q13" i="14"/>
  <c r="Q14" i="14"/>
  <c r="Q15" i="14"/>
  <c r="Q16" i="14"/>
  <c r="Q18" i="14"/>
  <c r="Q19" i="14"/>
  <c r="Q20" i="14"/>
  <c r="Q21" i="14"/>
  <c r="Q23" i="14"/>
  <c r="Q24" i="14"/>
  <c r="Q25" i="14"/>
  <c r="Q27" i="14"/>
  <c r="Q30" i="14"/>
  <c r="Q32" i="14"/>
  <c r="Q33" i="14"/>
  <c r="Q34" i="14"/>
  <c r="Q35" i="14"/>
  <c r="Q37" i="14"/>
  <c r="Q38" i="14"/>
  <c r="Q39" i="14"/>
  <c r="Q41" i="14"/>
  <c r="Q42" i="14"/>
  <c r="Q43" i="14"/>
  <c r="O10" i="14"/>
  <c r="O11" i="14"/>
  <c r="O13" i="14"/>
  <c r="O14" i="14"/>
  <c r="O15" i="14"/>
  <c r="O16" i="14"/>
  <c r="O18" i="14"/>
  <c r="O19" i="14"/>
  <c r="O20" i="14"/>
  <c r="O21" i="14"/>
  <c r="O23" i="14"/>
  <c r="O24" i="14"/>
  <c r="O25" i="14"/>
  <c r="O27" i="14"/>
  <c r="O30" i="14"/>
  <c r="O32" i="14"/>
  <c r="O33" i="14"/>
  <c r="O34" i="14"/>
  <c r="O35" i="14"/>
  <c r="O37" i="14"/>
  <c r="O38" i="14"/>
  <c r="O39" i="14"/>
  <c r="O41" i="14"/>
  <c r="O42" i="14"/>
  <c r="O43" i="14"/>
  <c r="M10" i="14"/>
  <c r="M11" i="14"/>
  <c r="M13" i="14"/>
  <c r="M14" i="14"/>
  <c r="M15" i="14"/>
  <c r="M16" i="14"/>
  <c r="M18" i="14"/>
  <c r="M19" i="14"/>
  <c r="M20" i="14"/>
  <c r="M21" i="14"/>
  <c r="M23" i="14"/>
  <c r="M24" i="14"/>
  <c r="M25" i="14"/>
  <c r="M27" i="14"/>
  <c r="M30" i="14"/>
  <c r="M32" i="14"/>
  <c r="M33" i="14"/>
  <c r="M34" i="14"/>
  <c r="M35" i="14"/>
  <c r="M37" i="14"/>
  <c r="M38" i="14"/>
  <c r="M39" i="14"/>
  <c r="M41" i="14"/>
  <c r="M42" i="14"/>
  <c r="M43" i="14"/>
  <c r="K10" i="14"/>
  <c r="K11" i="14"/>
  <c r="K13" i="14"/>
  <c r="K14" i="14"/>
  <c r="K15" i="14"/>
  <c r="K16" i="14"/>
  <c r="K18" i="14"/>
  <c r="K19" i="14"/>
  <c r="K20" i="14"/>
  <c r="K21" i="14"/>
  <c r="K22" i="14"/>
  <c r="K23" i="14"/>
  <c r="K24" i="14"/>
  <c r="K25" i="14"/>
  <c r="K27" i="14"/>
  <c r="K30" i="14"/>
  <c r="K32" i="14"/>
  <c r="K33" i="14"/>
  <c r="K34" i="14"/>
  <c r="K35" i="14"/>
  <c r="K37" i="14"/>
  <c r="K38" i="14"/>
  <c r="K39" i="14"/>
  <c r="K41" i="14"/>
  <c r="K42" i="14"/>
  <c r="K43" i="14"/>
  <c r="I10" i="14"/>
  <c r="I11" i="14"/>
  <c r="I13" i="14"/>
  <c r="I14" i="14"/>
  <c r="I15" i="14"/>
  <c r="I16" i="14"/>
  <c r="I18" i="14"/>
  <c r="I19" i="14"/>
  <c r="I20" i="14"/>
  <c r="I21" i="14"/>
  <c r="I23" i="14"/>
  <c r="I24" i="14"/>
  <c r="I25" i="14"/>
  <c r="I27" i="14"/>
  <c r="I30" i="14"/>
  <c r="I32" i="14"/>
  <c r="I33" i="14"/>
  <c r="I34" i="14"/>
  <c r="I35" i="14"/>
  <c r="I37" i="14"/>
  <c r="I38" i="14"/>
  <c r="I39" i="14"/>
  <c r="I41" i="14"/>
  <c r="I42" i="14"/>
  <c r="I43" i="14"/>
  <c r="G44" i="14"/>
  <c r="I44" i="14"/>
  <c r="K44" i="14"/>
  <c r="M44" i="14"/>
  <c r="O44" i="14"/>
  <c r="P44" i="14"/>
  <c r="Q44" i="14" s="1"/>
  <c r="R44" i="14"/>
  <c r="S44" i="14" s="1"/>
  <c r="G40" i="14"/>
  <c r="I40" i="14"/>
  <c r="K40" i="14"/>
  <c r="M40" i="14"/>
  <c r="O40" i="14"/>
  <c r="P40" i="14"/>
  <c r="Q40" i="14" s="1"/>
  <c r="R40" i="14"/>
  <c r="S40" i="14" s="1"/>
  <c r="F40" i="14"/>
  <c r="G36" i="14"/>
  <c r="I36" i="14"/>
  <c r="K36" i="14"/>
  <c r="M36" i="14"/>
  <c r="O36" i="14"/>
  <c r="P36" i="14"/>
  <c r="Q36" i="14" s="1"/>
  <c r="R36" i="14"/>
  <c r="S36" i="14" s="1"/>
  <c r="F36" i="14"/>
  <c r="G31" i="14"/>
  <c r="I31" i="14"/>
  <c r="K31" i="14"/>
  <c r="M31" i="14"/>
  <c r="O31" i="14"/>
  <c r="P31" i="14"/>
  <c r="Q31" i="14" s="1"/>
  <c r="R31" i="14"/>
  <c r="S31" i="14" s="1"/>
  <c r="G26" i="14"/>
  <c r="I26" i="14"/>
  <c r="K26" i="14"/>
  <c r="M26" i="14"/>
  <c r="O26" i="14"/>
  <c r="P26" i="14"/>
  <c r="Q26" i="14" s="1"/>
  <c r="R26" i="14"/>
  <c r="S26" i="14" s="1"/>
  <c r="F26" i="14"/>
  <c r="I22" i="14"/>
  <c r="L22" i="14"/>
  <c r="M22" i="14" s="1"/>
  <c r="N22" i="14"/>
  <c r="O22" i="14" s="1"/>
  <c r="Q22" i="14"/>
  <c r="S22" i="14"/>
  <c r="F22" i="14"/>
  <c r="G17" i="14"/>
  <c r="I17" i="14"/>
  <c r="K17" i="14"/>
  <c r="L17" i="14"/>
  <c r="M17" i="14" s="1"/>
  <c r="N17" i="14"/>
  <c r="O17" i="14" s="1"/>
  <c r="Q17" i="14"/>
  <c r="F17" i="14"/>
  <c r="G12" i="14"/>
  <c r="I12" i="14"/>
  <c r="K12" i="14"/>
  <c r="L12" i="14"/>
  <c r="M12" i="14" s="1"/>
  <c r="N12" i="14"/>
  <c r="O12" i="14" s="1"/>
  <c r="Q12" i="14"/>
  <c r="S12" i="14"/>
  <c r="F12" i="14"/>
  <c r="M9" i="14"/>
  <c r="T11" i="14"/>
  <c r="U24" i="14" l="1"/>
  <c r="U17" i="14"/>
  <c r="U14" i="14"/>
  <c r="U12" i="14"/>
  <c r="U38" i="14"/>
  <c r="U34" i="14"/>
  <c r="U30" i="14"/>
  <c r="U39" i="14"/>
  <c r="U21" i="14"/>
  <c r="U18" i="14"/>
  <c r="U37" i="14"/>
  <c r="U43" i="14"/>
  <c r="U15" i="14"/>
  <c r="U23" i="14"/>
  <c r="U19" i="14"/>
  <c r="U10" i="14"/>
  <c r="U16" i="14"/>
  <c r="U42" i="14"/>
  <c r="U13" i="14"/>
  <c r="U35" i="14"/>
  <c r="U11" i="14"/>
  <c r="U25" i="14"/>
  <c r="U36" i="14"/>
  <c r="U33" i="14"/>
  <c r="U32" i="14"/>
  <c r="U20" i="14"/>
  <c r="U27" i="14"/>
  <c r="U41" i="14"/>
  <c r="U44" i="14"/>
  <c r="U40" i="14"/>
  <c r="U31" i="14"/>
  <c r="U26" i="14"/>
  <c r="U22" i="14"/>
  <c r="T14" i="18" l="1"/>
  <c r="T18" i="18" s="1"/>
  <c r="T19" i="18"/>
  <c r="T20" i="18"/>
  <c r="T21" i="18"/>
  <c r="T22" i="18"/>
  <c r="T24" i="18"/>
  <c r="T25" i="18"/>
  <c r="T26" i="18"/>
  <c r="T27" i="18"/>
  <c r="T29" i="18"/>
  <c r="T30" i="18"/>
  <c r="T31" i="18"/>
  <c r="T32" i="18"/>
  <c r="T34" i="18"/>
  <c r="T35" i="18"/>
  <c r="T36" i="18"/>
  <c r="T37" i="18"/>
  <c r="T39" i="18"/>
  <c r="T40" i="18"/>
  <c r="T41" i="18"/>
  <c r="T42" i="18"/>
  <c r="T44" i="18"/>
  <c r="T45" i="18"/>
  <c r="T46" i="18"/>
  <c r="T48" i="18"/>
  <c r="T49" i="18"/>
  <c r="T50" i="18"/>
  <c r="T11" i="18"/>
  <c r="T12" i="18"/>
  <c r="K19" i="18"/>
  <c r="S11" i="18"/>
  <c r="S12" i="18"/>
  <c r="S14" i="18"/>
  <c r="S18" i="18" s="1"/>
  <c r="S19" i="18"/>
  <c r="S20" i="18"/>
  <c r="S21" i="18"/>
  <c r="S22" i="18"/>
  <c r="S24" i="18"/>
  <c r="S25" i="18"/>
  <c r="S26" i="18"/>
  <c r="S27" i="18"/>
  <c r="S29" i="18"/>
  <c r="S30" i="18"/>
  <c r="S31" i="18"/>
  <c r="S32" i="18"/>
  <c r="S34" i="18"/>
  <c r="S35" i="18"/>
  <c r="S36" i="18"/>
  <c r="S37" i="18"/>
  <c r="S39" i="18"/>
  <c r="S40" i="18"/>
  <c r="S41" i="18"/>
  <c r="S42" i="18"/>
  <c r="S44" i="18"/>
  <c r="S45" i="18"/>
  <c r="S46" i="18"/>
  <c r="S48" i="18"/>
  <c r="S49" i="18"/>
  <c r="S50" i="18"/>
  <c r="Q11" i="18"/>
  <c r="Q12" i="18"/>
  <c r="Q14" i="18"/>
  <c r="Q18" i="18" s="1"/>
  <c r="Q19" i="18"/>
  <c r="Q20" i="18"/>
  <c r="Q21" i="18"/>
  <c r="Q22" i="18"/>
  <c r="Q24" i="18"/>
  <c r="Q25" i="18"/>
  <c r="Q26" i="18"/>
  <c r="Q27" i="18"/>
  <c r="Q29" i="18"/>
  <c r="Q30" i="18"/>
  <c r="Q31" i="18"/>
  <c r="Q32" i="18"/>
  <c r="Q34" i="18"/>
  <c r="Q35" i="18"/>
  <c r="Q36" i="18"/>
  <c r="Q37" i="18"/>
  <c r="Q39" i="18"/>
  <c r="Q40" i="18"/>
  <c r="Q41" i="18"/>
  <c r="Q42" i="18"/>
  <c r="Q44" i="18"/>
  <c r="Q45" i="18"/>
  <c r="Q46" i="18"/>
  <c r="Q48" i="18"/>
  <c r="Q49" i="18"/>
  <c r="Q50" i="18"/>
  <c r="O11" i="18"/>
  <c r="O12" i="18"/>
  <c r="O14" i="18"/>
  <c r="O18" i="18" s="1"/>
  <c r="O19" i="18"/>
  <c r="O20" i="18"/>
  <c r="O21" i="18"/>
  <c r="O22" i="18"/>
  <c r="O24" i="18"/>
  <c r="O25" i="18"/>
  <c r="O26" i="18"/>
  <c r="O27" i="18"/>
  <c r="O29" i="18"/>
  <c r="O30" i="18"/>
  <c r="O31" i="18"/>
  <c r="O32" i="18"/>
  <c r="O34" i="18"/>
  <c r="O35" i="18"/>
  <c r="O36" i="18"/>
  <c r="O37" i="18"/>
  <c r="O39" i="18"/>
  <c r="O40" i="18"/>
  <c r="O41" i="18"/>
  <c r="O42" i="18"/>
  <c r="O44" i="18"/>
  <c r="O45" i="18"/>
  <c r="O46" i="18"/>
  <c r="O48" i="18"/>
  <c r="O49" i="18"/>
  <c r="O50" i="18"/>
  <c r="M11" i="18"/>
  <c r="M12" i="18"/>
  <c r="M14" i="18"/>
  <c r="M18" i="18" s="1"/>
  <c r="M19" i="18"/>
  <c r="M20" i="18"/>
  <c r="M21" i="18"/>
  <c r="M22" i="18"/>
  <c r="M24" i="18"/>
  <c r="M25" i="18"/>
  <c r="M26" i="18"/>
  <c r="M27" i="18"/>
  <c r="M29" i="18"/>
  <c r="M30" i="18"/>
  <c r="M31" i="18"/>
  <c r="M32" i="18"/>
  <c r="M34" i="18"/>
  <c r="M35" i="18"/>
  <c r="M36" i="18"/>
  <c r="M37" i="18"/>
  <c r="M39" i="18"/>
  <c r="M40" i="18"/>
  <c r="M41" i="18"/>
  <c r="M42" i="18"/>
  <c r="M44" i="18"/>
  <c r="M45" i="18"/>
  <c r="M46" i="18"/>
  <c r="M48" i="18"/>
  <c r="M49" i="18"/>
  <c r="M50" i="18"/>
  <c r="K14" i="18"/>
  <c r="K18" i="18" s="1"/>
  <c r="K20" i="18"/>
  <c r="K21" i="18"/>
  <c r="K22" i="18"/>
  <c r="K24" i="18"/>
  <c r="K25" i="18"/>
  <c r="K26" i="18"/>
  <c r="K27" i="18"/>
  <c r="K29" i="18"/>
  <c r="K30" i="18"/>
  <c r="K31" i="18"/>
  <c r="K32" i="18"/>
  <c r="K34" i="18"/>
  <c r="K35" i="18"/>
  <c r="K36" i="18"/>
  <c r="K37" i="18"/>
  <c r="K39" i="18"/>
  <c r="K40" i="18"/>
  <c r="K41" i="18"/>
  <c r="K42" i="18"/>
  <c r="K44" i="18"/>
  <c r="K45" i="18"/>
  <c r="K46" i="18"/>
  <c r="K48" i="18"/>
  <c r="K49" i="18"/>
  <c r="K50" i="18"/>
  <c r="K11" i="18"/>
  <c r="K12" i="18"/>
  <c r="I14" i="18"/>
  <c r="I18" i="18" s="1"/>
  <c r="I19" i="18"/>
  <c r="I20" i="18"/>
  <c r="I21" i="18"/>
  <c r="I22" i="18"/>
  <c r="I24" i="18"/>
  <c r="I25" i="18"/>
  <c r="I26" i="18"/>
  <c r="I27" i="18"/>
  <c r="I29" i="18"/>
  <c r="I30" i="18"/>
  <c r="I31" i="18"/>
  <c r="I32" i="18"/>
  <c r="I34" i="18"/>
  <c r="I35" i="18"/>
  <c r="I36" i="18"/>
  <c r="I37" i="18"/>
  <c r="I39" i="18"/>
  <c r="I40" i="18"/>
  <c r="I41" i="18"/>
  <c r="I42" i="18"/>
  <c r="I44" i="18"/>
  <c r="I45" i="18"/>
  <c r="I46" i="18"/>
  <c r="I48" i="18"/>
  <c r="I49" i="18"/>
  <c r="I50" i="18"/>
  <c r="I11" i="18"/>
  <c r="I12" i="18"/>
  <c r="I10" i="18"/>
  <c r="I9" i="18"/>
  <c r="M9" i="18"/>
  <c r="F51" i="18"/>
  <c r="F47" i="18"/>
  <c r="F43" i="18"/>
  <c r="F38" i="18"/>
  <c r="F33" i="18"/>
  <c r="F28" i="18"/>
  <c r="F23" i="18"/>
  <c r="F13" i="18"/>
  <c r="T10" i="18"/>
  <c r="J32" i="17"/>
  <c r="H50" i="17"/>
  <c r="S50" i="17"/>
  <c r="Q50" i="17"/>
  <c r="O50" i="17"/>
  <c r="M50" i="17"/>
  <c r="K50" i="17"/>
  <c r="W48" i="17"/>
  <c r="W46" i="17"/>
  <c r="W41" i="17"/>
  <c r="W40" i="17"/>
  <c r="W39" i="17"/>
  <c r="W43" i="17"/>
  <c r="W36" i="17"/>
  <c r="W35" i="17"/>
  <c r="H32" i="17"/>
  <c r="H54" i="8"/>
  <c r="Y54" i="8"/>
  <c r="W41" i="8"/>
  <c r="W42" i="8"/>
  <c r="W43" i="8"/>
  <c r="J54" i="8"/>
  <c r="J32" i="8"/>
  <c r="H32" i="8"/>
  <c r="I23" i="18" l="1"/>
  <c r="T23" i="18"/>
  <c r="U23" i="18" s="1"/>
  <c r="K23" i="18"/>
  <c r="H56" i="8"/>
  <c r="J56" i="8"/>
  <c r="U25" i="18"/>
  <c r="U19" i="18"/>
  <c r="U41" i="18"/>
  <c r="U24" i="18"/>
  <c r="U48" i="18"/>
  <c r="U45" i="18"/>
  <c r="U42" i="18"/>
  <c r="U40" i="18"/>
  <c r="U37" i="18"/>
  <c r="U36" i="18"/>
  <c r="U32" i="18"/>
  <c r="U26" i="18"/>
  <c r="U35" i="18"/>
  <c r="U12" i="18"/>
  <c r="U22" i="18"/>
  <c r="U11" i="18"/>
  <c r="U50" i="18"/>
  <c r="U49" i="18"/>
  <c r="Q38" i="18"/>
  <c r="U20" i="18"/>
  <c r="S43" i="18"/>
  <c r="S28" i="18"/>
  <c r="U44" i="18"/>
  <c r="T47" i="18"/>
  <c r="T33" i="18"/>
  <c r="U14" i="18"/>
  <c r="U18" i="18" s="1"/>
  <c r="M23" i="18"/>
  <c r="U30" i="18"/>
  <c r="U29" i="18"/>
  <c r="Q33" i="18"/>
  <c r="U39" i="18"/>
  <c r="U21" i="18"/>
  <c r="S38" i="18"/>
  <c r="T43" i="18"/>
  <c r="T28" i="18"/>
  <c r="S51" i="18"/>
  <c r="U46" i="18"/>
  <c r="U31" i="18"/>
  <c r="O23" i="18"/>
  <c r="Q43" i="18"/>
  <c r="Q28" i="18"/>
  <c r="U34" i="18"/>
  <c r="S47" i="18"/>
  <c r="S33" i="18"/>
  <c r="T38" i="18"/>
  <c r="U27" i="18"/>
  <c r="T51" i="18"/>
  <c r="U54" i="8"/>
  <c r="S54" i="8"/>
  <c r="K54" i="8"/>
  <c r="K32" i="8"/>
  <c r="W50" i="8"/>
  <c r="W46" i="8"/>
  <c r="O54" i="8"/>
  <c r="W44" i="8"/>
  <c r="W45" i="8"/>
  <c r="W35" i="8"/>
  <c r="W33" i="8"/>
  <c r="U28" i="18" l="1"/>
  <c r="U43" i="18"/>
  <c r="U51" i="18"/>
  <c r="U47" i="18"/>
  <c r="U38" i="18"/>
  <c r="U33" i="18"/>
  <c r="S10" i="18"/>
  <c r="Q10" i="18"/>
  <c r="O10" i="18"/>
  <c r="M10" i="18"/>
  <c r="K10" i="18"/>
  <c r="T9" i="18"/>
  <c r="T13" i="18" s="1"/>
  <c r="U13" i="18" s="1"/>
  <c r="S9" i="18"/>
  <c r="Q9" i="18"/>
  <c r="O9" i="18"/>
  <c r="K9" i="18"/>
  <c r="S58" i="17"/>
  <c r="O58" i="17"/>
  <c r="K58" i="17"/>
  <c r="W57" i="17"/>
  <c r="Y57" i="17" s="1"/>
  <c r="W56" i="17"/>
  <c r="AA57" i="17" s="1"/>
  <c r="Y53" i="17"/>
  <c r="W53" i="17"/>
  <c r="Y50" i="17"/>
  <c r="I52" i="17"/>
  <c r="H52" i="17"/>
  <c r="W45" i="17"/>
  <c r="W44" i="17"/>
  <c r="W38" i="17"/>
  <c r="W37" i="17"/>
  <c r="Y32" i="17"/>
  <c r="U32" i="17"/>
  <c r="S32" i="17"/>
  <c r="Q32" i="17"/>
  <c r="O32" i="17"/>
  <c r="M32" i="17"/>
  <c r="K32" i="17"/>
  <c r="W30" i="17"/>
  <c r="W28" i="17"/>
  <c r="W27" i="17"/>
  <c r="W26" i="17"/>
  <c r="W25" i="17"/>
  <c r="W24" i="17"/>
  <c r="W23" i="17"/>
  <c r="W22" i="17"/>
  <c r="W21" i="17"/>
  <c r="W20" i="17"/>
  <c r="W19" i="17"/>
  <c r="W18" i="17"/>
  <c r="W17" i="17"/>
  <c r="W16" i="17"/>
  <c r="W15" i="17"/>
  <c r="W14" i="17"/>
  <c r="W13" i="17"/>
  <c r="W12" i="17"/>
  <c r="W11" i="17"/>
  <c r="W10" i="17"/>
  <c r="W9" i="17"/>
  <c r="U10" i="18" l="1"/>
  <c r="U9" i="18"/>
  <c r="M52" i="17"/>
  <c r="O52" i="17"/>
  <c r="W58" i="17"/>
  <c r="X19" i="17"/>
  <c r="X17" i="17"/>
  <c r="X14" i="17"/>
  <c r="X9" i="17"/>
  <c r="W32" i="17"/>
  <c r="AA32" i="17" s="1"/>
  <c r="Q52" i="17"/>
  <c r="X21" i="17"/>
  <c r="S52" i="17"/>
  <c r="U52" i="17"/>
  <c r="Y52" i="17"/>
  <c r="K52" i="17"/>
  <c r="X23" i="17"/>
  <c r="X12" i="17"/>
  <c r="AA59" i="17"/>
  <c r="J52" i="17"/>
  <c r="S62" i="8"/>
  <c r="O62" i="8"/>
  <c r="K62" i="8"/>
  <c r="W61" i="8"/>
  <c r="Y61" i="8" s="1"/>
  <c r="W60" i="8"/>
  <c r="AA61" i="8" s="1"/>
  <c r="Y57" i="8"/>
  <c r="W57" i="8"/>
  <c r="Q54" i="8"/>
  <c r="M54" i="8"/>
  <c r="I54" i="8"/>
  <c r="I56" i="8" s="1"/>
  <c r="W40" i="8"/>
  <c r="W39" i="8"/>
  <c r="W38" i="8"/>
  <c r="W37" i="8"/>
  <c r="W36" i="8"/>
  <c r="Y32" i="8"/>
  <c r="Y56" i="8" s="1"/>
  <c r="U32" i="8"/>
  <c r="U56" i="8" s="1"/>
  <c r="S32" i="8"/>
  <c r="S56" i="8" s="1"/>
  <c r="Q32" i="8"/>
  <c r="O32" i="8"/>
  <c r="M32" i="8"/>
  <c r="W30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AA54" i="17" l="1"/>
  <c r="O56" i="8"/>
  <c r="M56" i="8"/>
  <c r="X23" i="8"/>
  <c r="X19" i="8"/>
  <c r="X14" i="8"/>
  <c r="W62" i="8"/>
  <c r="Q56" i="8"/>
  <c r="W54" i="8"/>
  <c r="X21" i="8"/>
  <c r="X12" i="8"/>
  <c r="X9" i="8"/>
  <c r="AA63" i="8"/>
  <c r="W32" i="8"/>
  <c r="AA32" i="8" s="1"/>
  <c r="X17" i="8"/>
  <c r="K56" i="8"/>
  <c r="T10" i="14"/>
  <c r="W56" i="8" l="1"/>
  <c r="AA58" i="8" s="1"/>
  <c r="I9" i="14"/>
  <c r="K9" i="14"/>
  <c r="O9" i="14"/>
  <c r="Q9" i="14"/>
  <c r="S9" i="14"/>
  <c r="T9" i="14"/>
  <c r="T12" i="14" s="1"/>
  <c r="U9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3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6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4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5" authorId="0" shapeId="0" xr:uid="{EDD7AF48-7E97-4B69-8855-69A74D85BBF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0" authorId="0" shapeId="0" xr:uid="{A46032D2-EBFC-423D-A81C-874AEE2BF5A7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<sst xmlns="http://schemas.openxmlformats.org/spreadsheetml/2006/main" count="1801" uniqueCount="731">
  <si>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</si>
  <si>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</si>
  <si>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</si>
  <si>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</si>
  <si>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</si>
  <si>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</si>
  <si>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</si>
  <si>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</si>
  <si>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</si>
  <si>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</si>
  <si>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</si>
  <si>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</si>
  <si>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</si>
  <si>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</si>
  <si>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</si>
  <si>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</si>
  <si>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</si>
  <si>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</si>
  <si>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</si>
  <si>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</si>
  <si>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</si>
  <si>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</si>
  <si>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</si>
  <si>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</si>
  <si>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</si>
  <si>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</si>
  <si>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</si>
  <si>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</si>
  <si>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</si>
  <si>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</si>
  <si>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</si>
  <si>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</si>
  <si>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</si>
  <si>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</si>
  <si>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</si>
  <si>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</si>
  <si>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</si>
  <si>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</si>
  <si>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</si>
  <si>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</si>
  <si>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</si>
  <si>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</si>
  <si>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</si>
  <si>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</si>
  <si>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</si>
  <si>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</si>
  <si>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</si>
  <si>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</si>
  <si>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</si>
  <si>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</si>
  <si>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</si>
  <si>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</si>
  <si>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</si>
  <si>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</si>
  <si>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</si>
  <si>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</si>
  <si>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</si>
  <si>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</si>
  <si>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</si>
  <si>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</si>
  <si>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</si>
  <si>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</si>
  <si>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</si>
  <si>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</si>
  <si>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</si>
  <si>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</si>
  <si>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</si>
  <si>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</si>
  <si>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</si>
  <si>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</si>
  <si>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</si>
  <si>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</si>
  <si>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</si>
  <si>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</si>
  <si>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</si>
  <si>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</si>
  <si>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</si>
  <si>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</si>
  <si>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</si>
  <si>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</si>
  <si>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</si>
  <si>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</si>
  <si>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</si>
  <si>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</si>
  <si>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</si>
  <si>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</si>
  <si>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</si>
  <si>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</si>
  <si>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</si>
  <si>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</si>
  <si>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</si>
  <si>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</si>
  <si>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</si>
  <si>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</si>
  <si>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</si>
  <si>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</si>
  <si>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</si>
  <si>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</si>
  <si>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</si>
  <si>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</si>
  <si>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</si>
  <si>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</si>
  <si>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</si>
  <si>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</si>
  <si>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</si>
  <si>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</si>
  <si>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</si>
  <si>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</si>
  <si>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</si>
  <si>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</si>
  <si>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</si>
  <si>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</si>
  <si>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</si>
  <si>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</si>
  <si>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</si>
  <si>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</si>
  <si>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</si>
  <si>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</si>
  <si>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</si>
  <si>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</si>
  <si>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</si>
  <si>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</si>
  <si>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</si>
  <si>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</si>
  <si>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</si>
  <si>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</si>
  <si>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</si>
  <si>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</si>
  <si>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</si>
  <si>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</si>
  <si>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</si>
  <si>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</si>
  <si>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</si>
  <si>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</si>
  <si>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</si>
  <si>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</si>
  <si>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</si>
  <si>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</si>
  <si>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</si>
  <si>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</si>
  <si>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</si>
  <si>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</si>
  <si>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</si>
  <si>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</si>
  <si>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</si>
  <si>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</si>
  <si>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</si>
  <si>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</si>
  <si>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</si>
  <si>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</si>
  <si>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</si>
  <si>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</si>
  <si>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</si>
  <si>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</si>
  <si>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</si>
  <si>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</si>
  <si>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</si>
  <si>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</si>
  <si>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</si>
  <si>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</si>
  <si>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</si>
  <si>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</si>
  <si>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</si>
  <si>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</si>
  <si>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</si>
  <si>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</si>
  <si>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</si>
  <si>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</si>
  <si>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</si>
  <si>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</si>
  <si>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</si>
  <si>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</si>
  <si>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</si>
  <si>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</si>
  <si>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</si>
  <si>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</si>
  <si>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</si>
  <si>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</si>
  <si>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</si>
  <si>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</si>
  <si>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</si>
  <si>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</si>
  <si>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</si>
  <si>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</si>
  <si>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</si>
  <si>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</si>
  <si>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</si>
  <si>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</si>
  <si>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</si>
  <si>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</si>
  <si>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</si>
  <si>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</si>
  <si>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</si>
  <si>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</si>
  <si>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</si>
  <si>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</si>
  <si>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</si>
  <si>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</si>
  <si>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</si>
  <si>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</si>
  <si>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</si>
  <si>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</si>
  <si>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</si>
  <si>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</si>
  <si>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</si>
  <si>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</si>
  <si>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</si>
  <si>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</si>
  <si>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</si>
  <si>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</si>
  <si>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</si>
  <si>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</si>
  <si>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</si>
  <si>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</si>
  <si>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</si>
  <si>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</si>
  <si>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</si>
  <si>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</si>
  <si>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</si>
  <si>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</si>
  <si>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</si>
  <si>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</si>
  <si>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</si>
  <si>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</si>
  <si>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</si>
  <si>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</si>
  <si>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</si>
  <si>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</si>
  <si>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</si>
  <si>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</si>
  <si>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</si>
  <si>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</si>
  <si>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</si>
  <si>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</si>
  <si>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</si>
  <si>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</si>
  <si>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</si>
  <si>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</si>
  <si>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</si>
  <si>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</si>
  <si>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</si>
  <si>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</si>
  <si>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</si>
  <si>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</si>
  <si>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</si>
  <si>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</si>
  <si>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</si>
  <si>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</si>
  <si>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</si>
  <si>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</si>
  <si>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</si>
  <si>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</si>
  <si>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</si>
  <si>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</si>
  <si>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</si>
  <si>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</si>
  <si>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</si>
  <si>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</si>
  <si>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</si>
  <si>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</si>
  <si>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</si>
  <si>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</si>
  <si>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</si>
  <si>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</si>
  <si>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</si>
  <si>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</si>
  <si>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</si>
  <si>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</si>
  <si>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</si>
  <si>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</si>
  <si>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</si>
  <si>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</si>
  <si>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</si>
  <si>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</si>
  <si>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</si>
  <si>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</si>
  <si>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</si>
  <si>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</si>
  <si>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</si>
  <si>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</si>
  <si>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</si>
  <si>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</si>
  <si>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</si>
  <si>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</si>
  <si>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</si>
  <si>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</si>
  <si>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</si>
  <si>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</si>
  <si>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</si>
  <si>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</si>
  <si>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</si>
  <si>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</si>
  <si>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</si>
  <si>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</si>
  <si>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</si>
  <si>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</si>
  <si>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</si>
  <si>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</si>
  <si>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</si>
  <si>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</si>
  <si>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</si>
  <si>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</si>
  <si>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</si>
  <si>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</si>
  <si>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</si>
  <si>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</si>
  <si>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</si>
  <si>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</si>
  <si>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</si>
  <si>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</si>
  <si>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</si>
  <si>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</si>
  <si>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</si>
  <si>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</si>
  <si>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</si>
  <si>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</si>
  <si>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</si>
  <si>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</si>
  <si>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</si>
  <si>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</si>
  <si>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</si>
  <si>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</si>
  <si>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</si>
  <si>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</si>
  <si>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</si>
  <si>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</si>
  <si>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</si>
  <si>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</si>
  <si>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</si>
  <si>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</si>
  <si>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</si>
  <si>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</si>
  <si>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</si>
  <si>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</si>
  <si>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</si>
  <si>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</si>
  <si>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</si>
  <si>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</si>
  <si>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</si>
  <si>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</si>
  <si>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공통영어1</t>
    <phoneticPr fontId="9" type="noConversion"/>
  </si>
  <si>
    <t>사회(역사/도덕 포함)</t>
    <phoneticPr fontId="9" type="noConversion"/>
  </si>
  <si>
    <t>3~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</si>
  <si>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</si>
  <si>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</si>
  <si>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</si>
  <si>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</si>
  <si>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</si>
  <si>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</si>
  <si>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</si>
  <si>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</si>
  <si>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</si>
  <si>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</si>
  <si>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</si>
  <si>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디지털과 직업생활</t>
    <phoneticPr fontId="9" type="noConversion"/>
  </si>
  <si>
    <t>전공일반</t>
    <phoneticPr fontId="9" type="noConversion"/>
  </si>
  <si>
    <t>전공실무</t>
    <phoneticPr fontId="9" type="noConversion"/>
  </si>
  <si>
    <t>식품·조리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</si>
  <si>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</si>
  <si>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</si>
  <si>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</si>
  <si>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</si>
  <si>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</si>
  <si>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</si>
  <si>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</si>
  <si>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</si>
  <si>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</si>
  <si>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</si>
  <si>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</si>
  <si>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</si>
  <si>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</si>
  <si>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</si>
  <si>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</si>
  <si>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</si>
  <si>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</si>
  <si>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</si>
  <si>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</si>
  <si>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</si>
  <si>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</si>
  <si>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</si>
  <si>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</si>
  <si>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</si>
  <si>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</si>
  <si>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</si>
  <si>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</si>
  <si>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</si>
  <si>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</si>
  <si>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</si>
  <si>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</si>
  <si>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</si>
  <si>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</si>
  <si>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</si>
  <si>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</si>
  <si>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</si>
  <si>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</si>
  <si>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</si>
  <si>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</si>
  <si>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</si>
  <si>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</si>
  <si>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</si>
  <si>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</si>
  <si>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</si>
  <si>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</si>
  <si>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</si>
  <si>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</si>
  <si>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</si>
  <si>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</si>
  <si>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</si>
  <si>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</si>
  <si>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</si>
  <si>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</si>
  <si>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</si>
  <si>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</si>
  <si>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</si>
  <si>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</si>
  <si>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</si>
  <si>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</si>
  <si>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</si>
  <si>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</si>
  <si>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</si>
  <si>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</si>
  <si>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</si>
  <si>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</si>
  <si>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</si>
  <si>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</si>
  <si>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</si>
  <si>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</si>
  <si>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</si>
  <si>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</si>
  <si>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</si>
  <si>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</si>
  <si>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</si>
  <si>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</si>
  <si>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</si>
  <si>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</si>
  <si>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</si>
  <si>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</si>
  <si>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</si>
  <si>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</si>
  <si>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</si>
  <si>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</si>
  <si>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</si>
  <si>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</si>
  <si>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</si>
  <si>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</si>
  <si>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</si>
  <si>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</si>
  <si>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</si>
  <si>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</si>
  <si>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</si>
  <si>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</si>
  <si>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</si>
  <si>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</si>
  <si>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</si>
  <si>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</si>
  <si>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</si>
  <si>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</si>
  <si>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</si>
  <si>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</si>
  <si>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</si>
  <si>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</si>
  <si>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</si>
  <si>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</si>
  <si>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</si>
  <si>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</si>
  <si>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</si>
  <si>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</si>
  <si>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</si>
  <si>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</si>
  <si>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</si>
  <si>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</si>
  <si>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</si>
  <si>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</si>
  <si>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</si>
  <si>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</si>
  <si>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</si>
  <si>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</si>
  <si>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</si>
  <si>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</si>
  <si>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</si>
  <si>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</si>
  <si>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</si>
  <si>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</si>
  <si>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</si>
  <si>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</si>
  <si>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</si>
  <si>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</si>
  <si>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</si>
  <si>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</si>
  <si>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</si>
  <si>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</si>
  <si>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</si>
  <si>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</si>
  <si>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</si>
  <si>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</si>
  <si>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</si>
  <si>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</si>
  <si>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</si>
  <si>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</si>
  <si>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</si>
  <si>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</si>
  <si>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</si>
  <si>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</si>
  <si>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</si>
  <si>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</si>
  <si>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</si>
  <si>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</si>
  <si>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</si>
  <si>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</si>
  <si>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</si>
  <si>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</si>
  <si>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</si>
  <si>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주성미</t>
    <phoneticPr fontId="9" type="noConversion"/>
  </si>
  <si>
    <t>충남</t>
  </si>
  <si>
    <t>청양고등학교</t>
    <phoneticPr fontId="9" type="noConversion"/>
  </si>
  <si>
    <t>경영·금융</t>
  </si>
  <si>
    <t>경영사무과</t>
  </si>
  <si>
    <t>유통과</t>
  </si>
  <si>
    <t>비즈니스과</t>
    <phoneticPr fontId="9" type="noConversion"/>
  </si>
  <si>
    <t>일반</t>
  </si>
  <si>
    <t>회계사무원
물류 관리 사무원</t>
    <phoneticPr fontId="9" type="noConversion"/>
  </si>
  <si>
    <t>스포츠 과학*</t>
    <phoneticPr fontId="9" type="noConversion"/>
  </si>
  <si>
    <t>운동과 건강</t>
    <phoneticPr fontId="9" type="noConversion"/>
  </si>
  <si>
    <t>전문공통</t>
    <phoneticPr fontId="9" type="noConversion"/>
  </si>
  <si>
    <t>성공적인 직업생활</t>
    <phoneticPr fontId="9" type="noConversion"/>
  </si>
  <si>
    <t>경영·금융</t>
    <phoneticPr fontId="9" type="noConversion"/>
  </si>
  <si>
    <t>회계 정보 처리 시스템</t>
    <phoneticPr fontId="9" type="noConversion"/>
  </si>
  <si>
    <t>비즈니스 커뮤니케이션</t>
    <phoneticPr fontId="9" type="noConversion"/>
  </si>
  <si>
    <t>사무행정</t>
    <phoneticPr fontId="9" type="noConversion"/>
  </si>
  <si>
    <t>전공실무</t>
    <phoneticPr fontId="9" type="noConversion"/>
  </si>
  <si>
    <t>비서</t>
    <phoneticPr fontId="9" type="noConversion"/>
  </si>
  <si>
    <t>2~</t>
    <phoneticPr fontId="9" type="noConversion"/>
  </si>
  <si>
    <t>전공일반</t>
    <phoneticPr fontId="9" type="noConversion"/>
  </si>
  <si>
    <t>회계사무원
코스</t>
    <phoneticPr fontId="9" type="noConversion"/>
  </si>
  <si>
    <t>물류마케터
코스</t>
    <phoneticPr fontId="9" type="noConversion"/>
  </si>
  <si>
    <t>인사</t>
    <phoneticPr fontId="9" type="noConversion"/>
  </si>
  <si>
    <t>마케팅과 광고</t>
    <phoneticPr fontId="9" type="noConversion"/>
  </si>
  <si>
    <t>전공
선택
(2학년)</t>
    <phoneticPr fontId="9" type="noConversion"/>
  </si>
  <si>
    <t>전공
선택
(3학년)</t>
    <phoneticPr fontId="9" type="noConversion"/>
  </si>
  <si>
    <t>3~5</t>
    <phoneticPr fontId="9" type="noConversion"/>
  </si>
  <si>
    <t>일본어/중국어(택1)</t>
    <phoneticPr fontId="9" type="noConversion"/>
  </si>
  <si>
    <t>일본어 회화/중국어 회화(택1)</t>
    <phoneticPr fontId="9" type="noConversion"/>
  </si>
  <si>
    <t>식품조리</t>
  </si>
  <si>
    <t>식품가공과</t>
  </si>
  <si>
    <t>제과제빵과</t>
  </si>
  <si>
    <t>바이오식품과</t>
    <phoneticPr fontId="9" type="noConversion"/>
  </si>
  <si>
    <t>제빵원
식품제조원</t>
    <phoneticPr fontId="9" type="noConversion"/>
  </si>
  <si>
    <t>재배(기가대체)</t>
    <phoneticPr fontId="9" type="noConversion"/>
  </si>
  <si>
    <t>원예</t>
    <phoneticPr fontId="9" type="noConversion"/>
  </si>
  <si>
    <t>식품 과학</t>
    <phoneticPr fontId="9" type="noConversion"/>
  </si>
  <si>
    <t>식품 위생</t>
    <phoneticPr fontId="9" type="noConversion"/>
  </si>
  <si>
    <t>식품 분석</t>
    <phoneticPr fontId="9" type="noConversion"/>
  </si>
  <si>
    <t>식품 가공 기술</t>
    <phoneticPr fontId="9" type="noConversion"/>
  </si>
  <si>
    <t>제빵</t>
    <phoneticPr fontId="9" type="noConversion"/>
  </si>
  <si>
    <t>화훼 재배</t>
    <phoneticPr fontId="9" type="noConversion"/>
  </si>
  <si>
    <t>농림수산</t>
    <phoneticPr fontId="9" type="noConversion"/>
  </si>
  <si>
    <t>전공일반</t>
    <phoneticPr fontId="9" type="noConversion"/>
  </si>
  <si>
    <t>전공실무</t>
    <phoneticPr fontId="9" type="noConversion"/>
  </si>
  <si>
    <t>제과</t>
    <phoneticPr fontId="9" type="noConversion"/>
  </si>
  <si>
    <t>2~</t>
    <phoneticPr fontId="9" type="noConversion"/>
  </si>
  <si>
    <t>선택과목1
(택1)</t>
    <phoneticPr fontId="9" type="noConversion"/>
  </si>
  <si>
    <t>선택과목2
(택1)</t>
    <phoneticPr fontId="9" type="noConversion"/>
  </si>
  <si>
    <t>제빵</t>
    <phoneticPr fontId="9" type="noConversion"/>
  </si>
  <si>
    <t>양식 조리</t>
    <phoneticPr fontId="9" type="noConversion"/>
  </si>
  <si>
    <t>청양고등학교</t>
    <phoneticPr fontId="9" type="noConversion"/>
  </si>
  <si>
    <t>바이오식품과</t>
    <phoneticPr fontId="9" type="noConversion"/>
  </si>
  <si>
    <t>빵류제품 스트레이트 반죽</t>
    <phoneticPr fontId="9" type="noConversion"/>
  </si>
  <si>
    <t>2102010214_23v5</t>
    <phoneticPr fontId="9" type="noConversion"/>
  </si>
  <si>
    <t>식빵류 만들기</t>
    <phoneticPr fontId="9" type="noConversion"/>
  </si>
  <si>
    <t>단과자빵류 만들기</t>
    <phoneticPr fontId="9" type="noConversion"/>
  </si>
  <si>
    <t>조리빵 만들기</t>
    <phoneticPr fontId="9" type="noConversion"/>
  </si>
  <si>
    <t>내용영역 합계</t>
    <phoneticPr fontId="9" type="noConversion"/>
  </si>
  <si>
    <t>2102010221_23v1</t>
    <phoneticPr fontId="9" type="noConversion"/>
  </si>
  <si>
    <t>2102010222_23v1</t>
    <phoneticPr fontId="9" type="noConversion"/>
  </si>
  <si>
    <t>2102010218_23v2</t>
    <phoneticPr fontId="9" type="noConversion"/>
  </si>
  <si>
    <t>비서</t>
    <phoneticPr fontId="9" type="noConversion"/>
  </si>
  <si>
    <t>회계실무</t>
    <phoneticPr fontId="9" type="noConversion"/>
  </si>
  <si>
    <t>노무관리</t>
    <phoneticPr fontId="9" type="noConversion"/>
  </si>
  <si>
    <t>인사</t>
    <phoneticPr fontId="9" type="noConversion"/>
  </si>
  <si>
    <t>노사협의회 운영</t>
    <phoneticPr fontId="9" type="noConversion"/>
  </si>
  <si>
    <t>위원회 운영</t>
    <phoneticPr fontId="9" type="noConversion"/>
  </si>
  <si>
    <t>부가가치세 신고</t>
    <phoneticPr fontId="9" type="noConversion"/>
  </si>
  <si>
    <t>세무실무</t>
    <phoneticPr fontId="9" type="noConversion"/>
  </si>
  <si>
    <t>구매조달</t>
    <phoneticPr fontId="9" type="noConversion"/>
  </si>
  <si>
    <t>0202030201_22v3</t>
    <phoneticPr fontId="5" type="noConversion"/>
  </si>
  <si>
    <t>0202030202_22v3</t>
    <phoneticPr fontId="5" type="noConversion"/>
  </si>
  <si>
    <t>0202030101_22v2</t>
    <phoneticPr fontId="5" type="noConversion"/>
  </si>
  <si>
    <t>0202030103_22v2</t>
    <phoneticPr fontId="5" type="noConversion"/>
  </si>
  <si>
    <t>0203020101_20v4</t>
    <phoneticPr fontId="5" type="noConversion"/>
  </si>
  <si>
    <t>0203020102_20v4</t>
    <phoneticPr fontId="5" type="noConversion"/>
  </si>
  <si>
    <t>0203020103_20v4</t>
    <phoneticPr fontId="5" type="noConversion"/>
  </si>
  <si>
    <t>0203020105_20v4</t>
    <phoneticPr fontId="5" type="noConversion"/>
  </si>
  <si>
    <t>0202020205_19v2</t>
    <phoneticPr fontId="5" type="noConversion"/>
  </si>
  <si>
    <t>0202020207_23v3</t>
    <phoneticPr fontId="5" type="noConversion"/>
  </si>
  <si>
    <t>0202020208_23v3</t>
    <phoneticPr fontId="5" type="noConversion"/>
  </si>
  <si>
    <t>0203020202_20v5</t>
    <phoneticPr fontId="5" type="noConversion"/>
  </si>
  <si>
    <t>0203020204_23v6</t>
    <phoneticPr fontId="5" type="noConversion"/>
  </si>
  <si>
    <t>0203020205_23v6</t>
    <phoneticPr fontId="5" type="noConversion"/>
  </si>
  <si>
    <t>0204010104_23v3</t>
    <phoneticPr fontId="5" type="noConversion"/>
  </si>
  <si>
    <t>0204010105_23v3</t>
    <phoneticPr fontId="5" type="noConversion"/>
  </si>
  <si>
    <t>0204010109_23v3</t>
    <phoneticPr fontId="5" type="noConversion"/>
  </si>
  <si>
    <t>0202020114_13v1</t>
    <phoneticPr fontId="5" type="noConversion"/>
  </si>
  <si>
    <t>한식 구이조리</t>
    <phoneticPr fontId="9" type="noConversion"/>
  </si>
  <si>
    <t>1301010109_21v4</t>
    <phoneticPr fontId="9" type="noConversion"/>
  </si>
  <si>
    <t>한식 생채, 회조리</t>
    <phoneticPr fontId="9" type="noConversion"/>
  </si>
  <si>
    <t>1301010129_21v4</t>
    <phoneticPr fontId="9" type="noConversion"/>
  </si>
  <si>
    <t>한식 전,적조리</t>
    <phoneticPr fontId="9" type="noConversion"/>
  </si>
  <si>
    <t>1301010127_21v4</t>
    <phoneticPr fontId="9" type="noConversion"/>
  </si>
  <si>
    <t>한식 밥조리</t>
    <phoneticPr fontId="9" type="noConversion"/>
  </si>
  <si>
    <t>1301010121_21v4</t>
    <phoneticPr fontId="9" type="noConversion"/>
  </si>
  <si>
    <t>양식 기초 조리실무</t>
    <phoneticPr fontId="9" type="noConversion"/>
  </si>
  <si>
    <t>1301010216_21v4</t>
    <phoneticPr fontId="9" type="noConversion"/>
  </si>
  <si>
    <t>양식 수프조리</t>
    <phoneticPr fontId="9" type="noConversion"/>
  </si>
  <si>
    <t>1301010204_21v4</t>
    <phoneticPr fontId="9" type="noConversion"/>
  </si>
  <si>
    <t>양식 파스타조리</t>
    <phoneticPr fontId="9" type="noConversion"/>
  </si>
  <si>
    <t>1301010209_21v4</t>
    <phoneticPr fontId="9" type="noConversion"/>
  </si>
  <si>
    <t>양식 소스조리</t>
    <phoneticPr fontId="9" type="noConversion"/>
  </si>
  <si>
    <t>1301010203_21v4</t>
    <phoneticPr fontId="9" type="noConversion"/>
  </si>
  <si>
    <t>2401010504_20v3</t>
    <phoneticPr fontId="9" type="noConversion"/>
  </si>
  <si>
    <t>2401010505_14v2</t>
    <phoneticPr fontId="9" type="noConversion"/>
  </si>
  <si>
    <t>화훼 이용</t>
    <phoneticPr fontId="9" type="noConversion"/>
  </si>
  <si>
    <t>2401010510_20v3</t>
    <phoneticPr fontId="9" type="noConversion"/>
  </si>
  <si>
    <t>과자류제품 생산작업 준비</t>
    <phoneticPr fontId="9" type="noConversion"/>
  </si>
  <si>
    <t>2102010112_18v2</t>
    <phoneticPr fontId="9" type="noConversion"/>
  </si>
  <si>
    <t>과자류제품 재료혼합</t>
    <phoneticPr fontId="9" type="noConversion"/>
  </si>
  <si>
    <t>2102010102_18v4</t>
    <phoneticPr fontId="9" type="noConversion"/>
  </si>
  <si>
    <t>과자류제품 반죽정형</t>
    <phoneticPr fontId="9" type="noConversion"/>
  </si>
  <si>
    <t>2102010103_18v4</t>
    <phoneticPr fontId="9" type="noConversion"/>
  </si>
  <si>
    <t>과자류제품 반죽익힘</t>
    <phoneticPr fontId="9" type="noConversion"/>
  </si>
  <si>
    <t>2102010104_18v4</t>
    <phoneticPr fontId="9" type="noConversion"/>
  </si>
  <si>
    <t>입고검사</t>
    <phoneticPr fontId="9" type="noConversion"/>
  </si>
  <si>
    <t>2101011101_20v3</t>
    <phoneticPr fontId="9" type="noConversion"/>
  </si>
  <si>
    <t>공정관리</t>
    <phoneticPr fontId="9" type="noConversion"/>
  </si>
  <si>
    <t>2101011102_20v3</t>
    <phoneticPr fontId="9" type="noConversion"/>
  </si>
  <si>
    <t>샘플 시험검사 준비</t>
    <phoneticPr fontId="9" type="noConversion"/>
  </si>
  <si>
    <t>2101011104_20v3</t>
    <phoneticPr fontId="9" type="noConversion"/>
  </si>
  <si>
    <t>제품검사관리</t>
    <phoneticPr fontId="9" type="noConversion"/>
  </si>
  <si>
    <t>2101011108_20v3</t>
    <phoneticPr fontId="9" type="noConversion"/>
  </si>
  <si>
    <t>떡 기초 제조실무</t>
    <phoneticPr fontId="9" type="noConversion"/>
  </si>
  <si>
    <t>2102010327_18v1</t>
    <phoneticPr fontId="9" type="noConversion"/>
  </si>
  <si>
    <t>고물류 만들기</t>
    <phoneticPr fontId="9" type="noConversion"/>
  </si>
  <si>
    <t>2102010325_18v3</t>
    <phoneticPr fontId="9" type="noConversion"/>
  </si>
  <si>
    <t>경단류 만들기</t>
    <phoneticPr fontId="9" type="noConversion"/>
  </si>
  <si>
    <t>2102010315_18v3</t>
    <phoneticPr fontId="9" type="noConversion"/>
  </si>
  <si>
    <t>과채, 인삼음료 제조</t>
    <phoneticPr fontId="9" type="noConversion"/>
  </si>
  <si>
    <t>2101010901_17v2</t>
    <phoneticPr fontId="9" type="noConversion"/>
  </si>
  <si>
    <t>발효음료 제조</t>
    <phoneticPr fontId="9" type="noConversion"/>
  </si>
  <si>
    <t>과실주 제조</t>
    <phoneticPr fontId="9" type="noConversion"/>
  </si>
  <si>
    <t>2101010911_17v2</t>
    <phoneticPr fontId="9" type="noConversion"/>
  </si>
  <si>
    <t>사무 자동화 프로그램 활용</t>
    <phoneticPr fontId="9" type="noConversion"/>
  </si>
  <si>
    <t>회계 정보 시스템 운용</t>
    <phoneticPr fontId="9" type="noConversion"/>
  </si>
  <si>
    <t>0202020109_23v5</t>
    <phoneticPr fontId="9" type="noConversion"/>
  </si>
  <si>
    <t>0202020107_23v4</t>
    <phoneticPr fontId="5" type="noConversion"/>
  </si>
  <si>
    <t>020202110_23v4</t>
    <phoneticPr fontId="9" type="noConversion"/>
  </si>
  <si>
    <t>전공실무</t>
    <phoneticPr fontId="9" type="noConversion"/>
  </si>
  <si>
    <t>2~</t>
    <phoneticPr fontId="9" type="noConversion"/>
  </si>
  <si>
    <t>내용영역 합계</t>
    <phoneticPr fontId="9" type="noConversion"/>
  </si>
  <si>
    <t>한식 조리</t>
    <phoneticPr fontId="9" type="noConversion"/>
  </si>
  <si>
    <t>물류관리</t>
    <phoneticPr fontId="9" type="noConversion"/>
  </si>
  <si>
    <t>보관 하역 관리</t>
    <phoneticPr fontId="9" type="noConversion"/>
  </si>
  <si>
    <t>육상 운송 관리</t>
    <phoneticPr fontId="9" type="noConversion"/>
  </si>
  <si>
    <t>0202030209_22v2</t>
    <phoneticPr fontId="5" type="noConversion"/>
  </si>
  <si>
    <t>0204030508_22v4</t>
    <phoneticPr fontId="5" type="noConversion"/>
  </si>
  <si>
    <t>2101010902_17v2</t>
    <phoneticPr fontId="9" type="noConversion"/>
  </si>
  <si>
    <t>바리스타</t>
    <phoneticPr fontId="9" type="noConversion"/>
  </si>
  <si>
    <t>전문교과</t>
    <phoneticPr fontId="9" type="noConversion"/>
  </si>
  <si>
    <t>학교장</t>
    <phoneticPr fontId="9" type="noConversion"/>
  </si>
  <si>
    <t>유선아</t>
    <phoneticPr fontId="9" type="noConversion"/>
  </si>
  <si>
    <t>박미주, 김명성(특성화)</t>
    <phoneticPr fontId="9" type="noConversion"/>
  </si>
  <si>
    <t>2027학년도 교육과정 편제 및 학점배당표(마이스터고/특성화고)</t>
    <phoneticPr fontId="9" type="noConversion"/>
  </si>
  <si>
    <t>직무 영어</t>
    <phoneticPr fontId="9" type="noConversion"/>
  </si>
  <si>
    <t>전문공통</t>
    <phoneticPr fontId="9" type="noConversion"/>
  </si>
  <si>
    <t>2~</t>
    <phoneticPr fontId="9" type="noConversion"/>
  </si>
  <si>
    <t>상업 경제</t>
    <phoneticPr fontId="5" type="noConversion"/>
  </si>
  <si>
    <t>회계 원리</t>
    <phoneticPr fontId="5" type="noConversion"/>
  </si>
  <si>
    <t>사무 관리</t>
    <phoneticPr fontId="9" type="noConversion"/>
  </si>
  <si>
    <t>금융 일반</t>
    <phoneticPr fontId="9" type="noConversion"/>
  </si>
  <si>
    <t>회계 실무</t>
    <phoneticPr fontId="9" type="noConversion"/>
  </si>
  <si>
    <t>노무 관리</t>
    <phoneticPr fontId="9" type="noConversion"/>
  </si>
  <si>
    <t>사무 행정</t>
    <phoneticPr fontId="9" type="noConversion"/>
  </si>
  <si>
    <t>기업 자원 통합 관리</t>
    <phoneticPr fontId="9" type="noConversion"/>
  </si>
  <si>
    <t>기업과 경영</t>
    <phoneticPr fontId="9" type="noConversion"/>
  </si>
  <si>
    <t>무역 일반</t>
    <phoneticPr fontId="9" type="noConversion"/>
  </si>
  <si>
    <t>세무 실무</t>
    <phoneticPr fontId="9" type="noConversion"/>
  </si>
  <si>
    <t>구매 조달</t>
    <phoneticPr fontId="9" type="noConversion"/>
  </si>
  <si>
    <t>물류 관리</t>
    <phoneticPr fontId="9" type="noConversion"/>
  </si>
  <si>
    <t>2027학년도 실무과목 능력단위 편성표</t>
    <phoneticPr fontId="9" type="noConversion"/>
  </si>
  <si>
    <t>경영진 지원 업무</t>
    <phoneticPr fontId="9" type="noConversion"/>
  </si>
  <si>
    <t>경영진 일정 관리</t>
    <phoneticPr fontId="9" type="noConversion"/>
  </si>
  <si>
    <t>응대 업무</t>
    <phoneticPr fontId="9" type="noConversion"/>
  </si>
  <si>
    <t>보고 업무</t>
    <phoneticPr fontId="9" type="noConversion"/>
  </si>
  <si>
    <t>0202030105_22v2</t>
    <phoneticPr fontId="5" type="noConversion"/>
  </si>
  <si>
    <t>0202030106_22v3</t>
    <phoneticPr fontId="5" type="noConversion"/>
  </si>
  <si>
    <t>문서 작성</t>
    <phoneticPr fontId="9" type="noConversion"/>
  </si>
  <si>
    <t>문서 관리</t>
    <phoneticPr fontId="9" type="noConversion"/>
  </si>
  <si>
    <t>결산 관리</t>
    <phoneticPr fontId="9" type="noConversion"/>
  </si>
  <si>
    <t>전표 관리</t>
    <phoneticPr fontId="9" type="noConversion"/>
  </si>
  <si>
    <t>자금 관리</t>
    <phoneticPr fontId="9" type="noConversion"/>
  </si>
  <si>
    <t>원가 계산</t>
    <phoneticPr fontId="9" type="noConversion"/>
  </si>
  <si>
    <t>단체 협약 이행</t>
    <phoneticPr fontId="9" type="noConversion"/>
  </si>
  <si>
    <t>교육 훈련 운영</t>
    <phoneticPr fontId="9" type="noConversion"/>
  </si>
  <si>
    <t>급여 지급</t>
    <phoneticPr fontId="9" type="noConversion"/>
  </si>
  <si>
    <t>복리 후생 관리</t>
    <phoneticPr fontId="9" type="noConversion"/>
  </si>
  <si>
    <t>퇴직 업무 지원</t>
    <phoneticPr fontId="9" type="noConversion"/>
  </si>
  <si>
    <t>적격 증빙 관리</t>
    <phoneticPr fontId="9" type="noConversion"/>
  </si>
  <si>
    <t>원천 징수</t>
    <phoneticPr fontId="9" type="noConversion"/>
  </si>
  <si>
    <t>0203020201_23v6</t>
    <phoneticPr fontId="5" type="noConversion"/>
  </si>
  <si>
    <t>구매 발주 관리</t>
    <phoneticPr fontId="9" type="noConversion"/>
  </si>
  <si>
    <t>구매품 품질 관리</t>
    <phoneticPr fontId="9" type="noConversion"/>
  </si>
  <si>
    <t>구매 계약</t>
    <phoneticPr fontId="9" type="noConversion"/>
  </si>
  <si>
    <t>물류정보 시스템 활용</t>
    <phoneticPr fontId="9" type="noConversion"/>
  </si>
  <si>
    <t>0204030702_22v4</t>
    <phoneticPr fontId="5" type="noConversion"/>
  </si>
  <si>
    <t>0204030601_23v4</t>
    <phoneticPr fontId="5" type="noConversion"/>
  </si>
  <si>
    <t>노동 인권과 산업 안전 보건</t>
    <phoneticPr fontId="9" type="noConversion"/>
  </si>
  <si>
    <t>농업 기초 기술</t>
    <phoneticPr fontId="9" type="noConversion"/>
  </si>
  <si>
    <t>식품 품질 관리</t>
    <phoneticPr fontId="9" type="noConversion"/>
  </si>
  <si>
    <t>떡 제조</t>
    <phoneticPr fontId="9" type="noConversion"/>
  </si>
  <si>
    <t>음료 주류 가공</t>
    <phoneticPr fontId="9" type="noConversion"/>
  </si>
  <si>
    <t>커피 기계 운용</t>
    <phoneticPr fontId="9" type="noConversion"/>
  </si>
  <si>
    <t>커피 추출 운용</t>
    <phoneticPr fontId="9" type="noConversion"/>
  </si>
  <si>
    <t>커피 음료 제조</t>
    <phoneticPr fontId="9" type="noConversion"/>
  </si>
  <si>
    <t>라떼 아트</t>
    <phoneticPr fontId="9" type="noConversion"/>
  </si>
  <si>
    <t>1301020324_23v4</t>
    <phoneticPr fontId="9" type="noConversion"/>
  </si>
  <si>
    <t>1301020316_18v3</t>
    <phoneticPr fontId="9" type="noConversion"/>
  </si>
  <si>
    <t>1301020318_23v4</t>
    <phoneticPr fontId="9" type="noConversion"/>
  </si>
  <si>
    <t>1301020315_23v4</t>
    <phoneticPr fontId="9" type="noConversion"/>
  </si>
  <si>
    <t>한식 조리</t>
    <phoneticPr fontId="9" type="noConversion"/>
  </si>
  <si>
    <t>화훼 재배 환경 관리</t>
    <phoneticPr fontId="9" type="noConversion"/>
  </si>
  <si>
    <t>화훼 병해충 관리</t>
    <phoneticPr fontId="9" type="noConversion"/>
  </si>
  <si>
    <t>2401010513_20v3</t>
    <phoneticPr fontId="9" type="noConversion"/>
  </si>
  <si>
    <t>화훼 재배 관리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</si>
</sst>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4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i/>
      <sz val="10"/>
      <name val="맑은 고딕"/>
      <family val="3"/>
      <charset val="129"/>
      <scheme val="minor"/>
    </font>
    <font>
      <b/>
      <i/>
      <sz val="11"/>
      <name val="맑은 고딕"/>
      <family val="3"/>
      <charset val="129"/>
    </font>
    <font>
      <i/>
      <sz val="11"/>
      <name val="맑은 고딕"/>
      <family val="3"/>
      <charset val="129"/>
    </font>
    <font>
      <i/>
      <sz val="1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Malgun Gothic"/>
      <family val="3"/>
      <charset val="129"/>
    </font>
    <font>
      <b/>
      <i/>
      <sz val="11"/>
      <name val="맑은 고딕"/>
      <family val="3"/>
      <charset val="129"/>
      <scheme val="minor"/>
    </font>
    <font>
      <i/>
      <sz val="11"/>
      <name val="Malgun Gothic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0" fillId="0" borderId="0"/>
  </cellStyleXfs>
  <cellXfs count="6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4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7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31" fillId="0" borderId="6" xfId="0" applyFont="1" applyBorder="1">
      <alignment vertical="center"/>
    </xf>
    <xf numFmtId="0" fontId="31" fillId="0" borderId="0" xfId="0" applyFont="1">
      <alignment vertical="center"/>
    </xf>
    <xf numFmtId="0" fontId="31" fillId="0" borderId="6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21" xfId="0" applyFont="1" applyBorder="1" applyAlignment="1">
      <alignment horizontal="left" vertical="center"/>
    </xf>
    <xf numFmtId="0" fontId="31" fillId="0" borderId="21" xfId="0" applyFont="1" applyBorder="1">
      <alignment vertical="center"/>
    </xf>
    <xf numFmtId="0" fontId="13" fillId="10" borderId="96" xfId="6" applyFont="1" applyFill="1" applyBorder="1" applyAlignment="1" applyProtection="1">
      <alignment horizontal="center" vertical="center" wrapText="1"/>
    </xf>
    <xf numFmtId="0" fontId="12" fillId="12" borderId="97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32" fillId="12" borderId="98" xfId="0" applyFont="1" applyFill="1" applyBorder="1" applyAlignment="1" applyProtection="1">
      <alignment horizontal="center" vertical="center"/>
      <protection locked="0"/>
    </xf>
    <xf numFmtId="0" fontId="24" fillId="3" borderId="56" xfId="3" applyFont="1" applyBorder="1" applyAlignment="1" applyProtection="1">
      <alignment horizontal="center" vertical="center"/>
      <protection locked="0"/>
    </xf>
    <xf numFmtId="0" fontId="27" fillId="11" borderId="98" xfId="7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9" borderId="0" xfId="7" applyFont="1" applyFill="1" applyAlignment="1">
      <alignment horizontal="center" vertical="center" shrinkToFit="1"/>
    </xf>
    <xf numFmtId="0" fontId="12" fillId="12" borderId="116" xfId="0" applyFont="1" applyFill="1" applyBorder="1" applyAlignment="1" applyProtection="1">
      <alignment horizontal="center" vertical="center"/>
      <protection locked="0"/>
    </xf>
    <xf numFmtId="0" fontId="28" fillId="15" borderId="41" xfId="4" applyFont="1" applyFill="1" applyBorder="1" applyAlignment="1" applyProtection="1">
      <alignment horizontal="center" vertical="center" wrapText="1"/>
    </xf>
    <xf numFmtId="0" fontId="28" fillId="15" borderId="74" xfId="4" applyFont="1" applyFill="1" applyBorder="1" applyAlignment="1" applyProtection="1">
      <alignment horizontal="center" vertical="center" wrapText="1"/>
    </xf>
    <xf numFmtId="0" fontId="28" fillId="0" borderId="102" xfId="4" applyFont="1" applyFill="1" applyBorder="1" applyAlignment="1" applyProtection="1">
      <alignment horizontal="center" vertical="center" wrapText="1"/>
    </xf>
    <xf numFmtId="0" fontId="28" fillId="15" borderId="103" xfId="4" applyFont="1" applyFill="1" applyBorder="1" applyAlignment="1" applyProtection="1">
      <alignment horizontal="center" vertical="center" wrapText="1"/>
    </xf>
    <xf numFmtId="0" fontId="28" fillId="15" borderId="69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28" fillId="15" borderId="46" xfId="4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08" xfId="0" applyFont="1" applyBorder="1" applyAlignment="1" applyProtection="1">
      <alignment horizontal="center" vertical="center"/>
      <protection locked="0"/>
    </xf>
    <xf numFmtId="0" fontId="12" fillId="0" borderId="108" xfId="0" applyFont="1" applyBorder="1" applyAlignment="1" applyProtection="1">
      <alignment horizontal="center" vertical="center" shrinkToFit="1"/>
      <protection locked="0"/>
    </xf>
    <xf numFmtId="0" fontId="32" fillId="0" borderId="8" xfId="0" applyFont="1" applyBorder="1" applyAlignment="1" applyProtection="1">
      <alignment horizontal="center" vertical="center"/>
      <protection locked="0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66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1" xfId="5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3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176" fontId="13" fillId="15" borderId="100" xfId="0" applyNumberFormat="1" applyFont="1" applyFill="1" applyBorder="1" applyAlignment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0" fontId="13" fillId="15" borderId="48" xfId="4" applyFont="1" applyFill="1" applyBorder="1" applyAlignment="1" applyProtection="1">
      <alignment horizontal="center" vertical="center" wrapText="1"/>
    </xf>
    <xf numFmtId="176" fontId="13" fillId="15" borderId="40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176" fontId="13" fillId="15" borderId="80" xfId="0" applyNumberFormat="1" applyFont="1" applyFill="1" applyBorder="1" applyAlignment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13" fillId="15" borderId="95" xfId="4" applyFont="1" applyFill="1" applyBorder="1" applyAlignment="1" applyProtection="1">
      <alignment horizontal="center" vertical="center" wrapText="1"/>
    </xf>
    <xf numFmtId="0" fontId="13" fillId="15" borderId="101" xfId="4" applyFont="1" applyFill="1" applyBorder="1" applyAlignment="1" applyProtection="1">
      <alignment horizontal="center" vertical="center" shrinkToFi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17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shrinkToFit="1"/>
    </xf>
    <xf numFmtId="0" fontId="22" fillId="0" borderId="0" xfId="0" applyFont="1" applyAlignment="1" applyProtection="1">
      <alignment horizontal="center" vertical="center"/>
      <protection locked="0"/>
    </xf>
    <xf numFmtId="0" fontId="13" fillId="6" borderId="73" xfId="4" applyFont="1" applyFill="1" applyBorder="1" applyAlignment="1" applyProtection="1">
      <alignment horizontal="center" vertical="center" wrapText="1"/>
    </xf>
    <xf numFmtId="0" fontId="21" fillId="0" borderId="126" xfId="0" applyFont="1" applyBorder="1" applyAlignment="1" applyProtection="1">
      <alignment horizontal="center" vertical="center"/>
      <protection locked="0"/>
    </xf>
    <xf numFmtId="0" fontId="35" fillId="0" borderId="0" xfId="16" applyFont="1" applyAlignment="1">
      <alignment vertical="center"/>
    </xf>
    <xf numFmtId="0" fontId="16" fillId="0" borderId="0" xfId="16" applyFont="1"/>
    <xf numFmtId="0" fontId="35" fillId="19" borderId="127" xfId="16" applyFont="1" applyFill="1" applyBorder="1" applyAlignment="1">
      <alignment horizontal="center" vertical="center"/>
    </xf>
    <xf numFmtId="0" fontId="35" fillId="0" borderId="128" xfId="16" applyFont="1" applyBorder="1" applyAlignment="1">
      <alignment vertical="center"/>
    </xf>
    <xf numFmtId="0" fontId="35" fillId="0" borderId="28" xfId="16" applyFont="1" applyBorder="1" applyAlignment="1">
      <alignment vertical="center"/>
    </xf>
    <xf numFmtId="0" fontId="35" fillId="0" borderId="25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30" xfId="16" applyFont="1" applyBorder="1" applyAlignment="1">
      <alignment vertical="center"/>
    </xf>
    <xf numFmtId="0" fontId="35" fillId="0" borderId="21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35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22" xfId="16" applyFont="1" applyBorder="1" applyAlignment="1">
      <alignment vertical="center"/>
    </xf>
    <xf numFmtId="0" fontId="35" fillId="0" borderId="19" xfId="16" applyFont="1" applyBorder="1" applyAlignment="1">
      <alignment vertical="center"/>
    </xf>
    <xf numFmtId="0" fontId="35" fillId="21" borderId="141" xfId="16" applyFont="1" applyFill="1" applyBorder="1" applyAlignment="1">
      <alignment horizontal="center" vertical="center" wrapText="1"/>
    </xf>
    <xf numFmtId="0" fontId="35" fillId="21" borderId="142" xfId="16" applyFont="1" applyFill="1" applyBorder="1" applyAlignment="1">
      <alignment horizontal="center" vertical="center" wrapText="1"/>
    </xf>
    <xf numFmtId="0" fontId="46" fillId="21" borderId="142" xfId="16" applyFont="1" applyFill="1" applyBorder="1" applyAlignment="1">
      <alignment horizontal="center" vertical="center" wrapText="1"/>
    </xf>
    <xf numFmtId="0" fontId="46" fillId="21" borderId="143" xfId="16" applyFont="1" applyFill="1" applyBorder="1" applyAlignment="1">
      <alignment horizontal="center" vertical="center" wrapText="1"/>
    </xf>
    <xf numFmtId="0" fontId="35" fillId="0" borderId="21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47" fillId="0" borderId="147" xfId="16" applyFont="1" applyBorder="1" applyAlignment="1">
      <alignment horizontal="center" vertical="center" wrapText="1"/>
    </xf>
    <xf numFmtId="0" fontId="47" fillId="0" borderId="149" xfId="16" applyFont="1" applyBorder="1" applyAlignment="1">
      <alignment horizontal="center" vertical="center" wrapText="1"/>
    </xf>
    <xf numFmtId="0" fontId="47" fillId="0" borderId="153" xfId="16" applyFont="1" applyBorder="1" applyAlignment="1">
      <alignment horizontal="center" vertical="center" wrapText="1"/>
    </xf>
    <xf numFmtId="0" fontId="47" fillId="0" borderId="154" xfId="16" applyFont="1" applyBorder="1" applyAlignment="1">
      <alignment horizontal="center" vertical="center" wrapText="1"/>
    </xf>
    <xf numFmtId="0" fontId="47" fillId="0" borderId="157" xfId="16" applyFont="1" applyBorder="1" applyAlignment="1">
      <alignment horizontal="center" vertical="center" wrapText="1"/>
    </xf>
    <xf numFmtId="0" fontId="47" fillId="0" borderId="158" xfId="16" applyFont="1" applyBorder="1" applyAlignment="1">
      <alignment horizontal="center" vertical="center" wrapText="1"/>
    </xf>
    <xf numFmtId="0" fontId="47" fillId="0" borderId="160" xfId="16" applyFont="1" applyBorder="1" applyAlignment="1">
      <alignment horizontal="center" vertical="center" wrapText="1"/>
    </xf>
    <xf numFmtId="0" fontId="35" fillId="0" borderId="160" xfId="16" applyFont="1" applyBorder="1" applyAlignment="1">
      <alignment horizontal="center" vertical="center" wrapText="1"/>
    </xf>
    <xf numFmtId="0" fontId="47" fillId="0" borderId="161" xfId="16" applyFont="1" applyBorder="1" applyAlignment="1">
      <alignment horizontal="center" vertical="center" wrapText="1"/>
    </xf>
    <xf numFmtId="0" fontId="35" fillId="0" borderId="154" xfId="16" applyFont="1" applyBorder="1" applyAlignment="1">
      <alignment horizontal="center" vertical="center" wrapText="1"/>
    </xf>
    <xf numFmtId="0" fontId="35" fillId="0" borderId="157" xfId="16" applyFont="1" applyBorder="1" applyAlignment="1">
      <alignment horizontal="center" vertical="center" wrapText="1"/>
    </xf>
    <xf numFmtId="0" fontId="47" fillId="0" borderId="133" xfId="16" applyFont="1" applyBorder="1" applyAlignment="1">
      <alignment horizontal="center" vertical="center" wrapText="1"/>
    </xf>
    <xf numFmtId="0" fontId="49" fillId="21" borderId="133" xfId="16" applyFont="1" applyFill="1" applyBorder="1" applyAlignment="1">
      <alignment horizontal="center" vertical="center" wrapText="1"/>
    </xf>
    <xf numFmtId="0" fontId="50" fillId="0" borderId="154" xfId="16" applyFont="1" applyBorder="1" applyAlignment="1">
      <alignment horizontal="center" vertical="center" wrapText="1"/>
    </xf>
    <xf numFmtId="0" fontId="50" fillId="0" borderId="132" xfId="16" applyFont="1" applyBorder="1" applyAlignment="1">
      <alignment horizontal="center" vertical="center" wrapText="1"/>
    </xf>
    <xf numFmtId="0" fontId="49" fillId="0" borderId="133" xfId="16" applyFont="1" applyBorder="1" applyAlignment="1">
      <alignment horizontal="center" vertical="center" wrapText="1"/>
    </xf>
    <xf numFmtId="0" fontId="51" fillId="0" borderId="0" xfId="16" applyFont="1" applyAlignment="1">
      <alignment horizontal="center" vertical="center"/>
    </xf>
    <xf numFmtId="0" fontId="45" fillId="0" borderId="133" xfId="16" applyFont="1" applyBorder="1" applyAlignment="1">
      <alignment horizontal="center" vertical="center"/>
    </xf>
    <xf numFmtId="0" fontId="45" fillId="20" borderId="154" xfId="16" applyFont="1" applyFill="1" applyBorder="1" applyAlignment="1">
      <alignment horizontal="center" vertical="center"/>
    </xf>
    <xf numFmtId="0" fontId="45" fillId="20" borderId="132" xfId="16" applyFont="1" applyFill="1" applyBorder="1" applyAlignment="1">
      <alignment horizontal="center" vertical="center" wrapText="1"/>
    </xf>
    <xf numFmtId="0" fontId="51" fillId="0" borderId="154" xfId="16" applyFont="1" applyBorder="1" applyAlignment="1">
      <alignment horizontal="center" vertical="center" wrapText="1"/>
    </xf>
    <xf numFmtId="0" fontId="51" fillId="0" borderId="133" xfId="16" applyFont="1" applyBorder="1" applyAlignment="1">
      <alignment horizontal="center" vertical="center" wrapText="1"/>
    </xf>
    <xf numFmtId="0" fontId="45" fillId="0" borderId="154" xfId="16" applyFont="1" applyBorder="1" applyAlignment="1">
      <alignment horizontal="center" vertical="center" wrapText="1"/>
    </xf>
    <xf numFmtId="0" fontId="45" fillId="0" borderId="133" xfId="16" applyFont="1" applyBorder="1" applyAlignment="1">
      <alignment horizontal="center" vertical="center" wrapText="1"/>
    </xf>
    <xf numFmtId="0" fontId="35" fillId="0" borderId="154" xfId="16" applyFont="1" applyBorder="1" applyAlignment="1">
      <alignment vertical="center" wrapText="1"/>
    </xf>
    <xf numFmtId="0" fontId="35" fillId="0" borderId="0" xfId="16" applyFont="1" applyAlignment="1">
      <alignment vertical="center" wrapText="1"/>
    </xf>
    <xf numFmtId="0" fontId="45" fillId="20" borderId="133" xfId="16" applyFont="1" applyFill="1" applyBorder="1" applyAlignment="1">
      <alignment horizontal="center" vertical="center"/>
    </xf>
    <xf numFmtId="0" fontId="45" fillId="0" borderId="132" xfId="16" applyFont="1" applyBorder="1" applyAlignment="1">
      <alignment horizontal="center" vertical="center"/>
    </xf>
    <xf numFmtId="0" fontId="45" fillId="0" borderId="154" xfId="16" applyFont="1" applyBorder="1" applyAlignment="1">
      <alignment horizontal="center" vertical="center"/>
    </xf>
    <xf numFmtId="0" fontId="52" fillId="0" borderId="154" xfId="16" applyFont="1" applyBorder="1" applyAlignment="1">
      <alignment horizontal="center" vertical="center"/>
    </xf>
    <xf numFmtId="0" fontId="52" fillId="0" borderId="133" xfId="16" applyFont="1" applyBorder="1" applyAlignment="1">
      <alignment horizontal="center" vertical="center"/>
    </xf>
    <xf numFmtId="0" fontId="35" fillId="0" borderId="140" xfId="16" applyFont="1" applyBorder="1" applyAlignment="1">
      <alignment vertical="center"/>
    </xf>
    <xf numFmtId="0" fontId="35" fillId="0" borderId="138" xfId="16" applyFont="1" applyBorder="1" applyAlignment="1">
      <alignment vertical="center"/>
    </xf>
    <xf numFmtId="0" fontId="35" fillId="0" borderId="165" xfId="16" applyFont="1" applyBorder="1" applyAlignment="1">
      <alignment vertical="center"/>
    </xf>
    <xf numFmtId="0" fontId="35" fillId="0" borderId="166" xfId="16" applyFont="1" applyBorder="1" applyAlignment="1">
      <alignment vertical="center"/>
    </xf>
    <xf numFmtId="0" fontId="35" fillId="0" borderId="111" xfId="16" applyFont="1" applyBorder="1" applyAlignment="1">
      <alignment vertical="center"/>
    </xf>
    <xf numFmtId="0" fontId="35" fillId="0" borderId="136" xfId="16" applyFont="1" applyBorder="1" applyAlignment="1">
      <alignment vertical="center"/>
    </xf>
    <xf numFmtId="0" fontId="35" fillId="0" borderId="168" xfId="16" applyFont="1" applyBorder="1" applyAlignment="1">
      <alignment vertical="center"/>
    </xf>
    <xf numFmtId="0" fontId="35" fillId="0" borderId="169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wrapText="1"/>
    </xf>
    <xf numFmtId="0" fontId="28" fillId="0" borderId="34" xfId="4" applyFont="1" applyFill="1" applyBorder="1" applyAlignment="1" applyProtection="1">
      <alignment horizontal="center" vertical="center" wrapText="1"/>
    </xf>
    <xf numFmtId="3" fontId="0" fillId="0" borderId="31" xfId="0" applyNumberFormat="1" applyBorder="1" applyAlignment="1" applyProtection="1">
      <alignment horizontal="center" vertical="center"/>
      <protection locked="0"/>
    </xf>
    <xf numFmtId="0" fontId="13" fillId="15" borderId="69" xfId="4" applyFont="1" applyFill="1" applyBorder="1" applyAlignment="1" applyProtection="1">
      <alignment horizontal="center" vertical="center" wrapText="1"/>
    </xf>
    <xf numFmtId="0" fontId="13" fillId="15" borderId="102" xfId="4" applyFont="1" applyFill="1" applyBorder="1" applyAlignment="1" applyProtection="1">
      <alignment horizontal="center" vertical="center" wrapText="1"/>
    </xf>
    <xf numFmtId="0" fontId="13" fillId="15" borderId="103" xfId="4" applyFont="1" applyFill="1" applyBorder="1" applyAlignment="1" applyProtection="1">
      <alignment horizontal="center" vertical="center" wrapText="1"/>
    </xf>
    <xf numFmtId="0" fontId="28" fillId="15" borderId="76" xfId="4" applyFont="1" applyFill="1" applyBorder="1" applyAlignment="1" applyProtection="1">
      <alignment horizontal="center" vertical="center" wrapText="1"/>
    </xf>
    <xf numFmtId="0" fontId="13" fillId="15" borderId="80" xfId="4" applyFont="1" applyFill="1" applyBorder="1" applyAlignment="1" applyProtection="1">
      <alignment horizontal="center" vertical="center" wrapText="1"/>
    </xf>
    <xf numFmtId="0" fontId="28" fillId="15" borderId="181" xfId="4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shrinkToFit="1"/>
    </xf>
    <xf numFmtId="0" fontId="13" fillId="15" borderId="22" xfId="4" applyFont="1" applyFill="1" applyBorder="1" applyAlignment="1" applyProtection="1">
      <alignment horizontal="center" vertical="center" shrinkToFit="1"/>
    </xf>
    <xf numFmtId="0" fontId="28" fillId="0" borderId="67" xfId="4" applyFont="1" applyFill="1" applyBorder="1" applyAlignment="1" applyProtection="1">
      <alignment horizontal="center" vertical="center" wrapText="1"/>
    </xf>
    <xf numFmtId="0" fontId="28" fillId="0" borderId="63" xfId="4" applyFont="1" applyFill="1" applyBorder="1" applyAlignment="1" applyProtection="1">
      <alignment horizontal="center" vertical="center" wrapText="1"/>
    </xf>
    <xf numFmtId="0" fontId="27" fillId="11" borderId="32" xfId="7" applyFont="1" applyFill="1" applyBorder="1" applyAlignment="1">
      <alignment horizontal="center" vertical="center" wrapText="1"/>
    </xf>
    <xf numFmtId="0" fontId="13" fillId="15" borderId="100" xfId="4" applyFont="1" applyFill="1" applyBorder="1" applyAlignment="1" applyProtection="1">
      <alignment horizontal="center" vertical="center" wrapText="1"/>
    </xf>
    <xf numFmtId="0" fontId="13" fillId="15" borderId="101" xfId="4" applyFont="1" applyFill="1" applyBorder="1" applyAlignment="1" applyProtection="1">
      <alignment horizontal="center" vertical="center" wrapText="1"/>
    </xf>
    <xf numFmtId="0" fontId="56" fillId="15" borderId="76" xfId="4" applyFont="1" applyFill="1" applyBorder="1" applyAlignment="1" applyProtection="1">
      <alignment horizontal="center" vertical="center" wrapText="1"/>
    </xf>
    <xf numFmtId="0" fontId="56" fillId="0" borderId="66" xfId="4" applyFont="1" applyFill="1" applyBorder="1" applyAlignment="1" applyProtection="1">
      <alignment horizontal="center" vertical="center" wrapText="1"/>
    </xf>
    <xf numFmtId="0" fontId="56" fillId="15" borderId="75" xfId="4" applyFont="1" applyFill="1" applyBorder="1" applyAlignment="1" applyProtection="1">
      <alignment horizontal="center" vertical="center" wrapText="1"/>
    </xf>
    <xf numFmtId="0" fontId="56" fillId="15" borderId="46" xfId="4" applyFont="1" applyFill="1" applyBorder="1" applyAlignment="1" applyProtection="1">
      <alignment horizontal="center" vertical="center" wrapText="1"/>
    </xf>
    <xf numFmtId="0" fontId="56" fillId="0" borderId="47" xfId="4" applyFont="1" applyFill="1" applyBorder="1" applyAlignment="1" applyProtection="1">
      <alignment horizontal="center" vertical="center" wrapText="1"/>
    </xf>
    <xf numFmtId="0" fontId="56" fillId="15" borderId="48" xfId="4" applyFont="1" applyFill="1" applyBorder="1" applyAlignment="1" applyProtection="1">
      <alignment horizontal="center" vertical="center" wrapText="1"/>
    </xf>
    <xf numFmtId="0" fontId="56" fillId="15" borderId="69" xfId="4" applyFont="1" applyFill="1" applyBorder="1" applyAlignment="1" applyProtection="1">
      <alignment horizontal="center" vertical="center" wrapText="1"/>
    </xf>
    <xf numFmtId="0" fontId="56" fillId="0" borderId="102" xfId="4" applyFont="1" applyFill="1" applyBorder="1" applyAlignment="1" applyProtection="1">
      <alignment horizontal="center" vertical="center" wrapText="1"/>
    </xf>
    <xf numFmtId="0" fontId="56" fillId="15" borderId="103" xfId="4" applyFont="1" applyFill="1" applyBorder="1" applyAlignment="1" applyProtection="1">
      <alignment horizontal="center" vertical="center" wrapText="1"/>
    </xf>
    <xf numFmtId="0" fontId="56" fillId="0" borderId="34" xfId="4" applyFont="1" applyFill="1" applyBorder="1" applyAlignment="1" applyProtection="1">
      <alignment horizontal="center" vertical="center" wrapText="1"/>
    </xf>
    <xf numFmtId="0" fontId="56" fillId="15" borderId="45" xfId="4" applyFont="1" applyFill="1" applyBorder="1" applyAlignment="1" applyProtection="1">
      <alignment horizontal="center" vertical="center" wrapText="1"/>
    </xf>
    <xf numFmtId="0" fontId="56" fillId="15" borderId="44" xfId="4" applyFont="1" applyFill="1" applyBorder="1" applyAlignment="1" applyProtection="1">
      <alignment horizontal="center" vertical="center" wrapText="1"/>
    </xf>
    <xf numFmtId="0" fontId="56" fillId="15" borderId="179" xfId="4" applyFont="1" applyFill="1" applyBorder="1" applyAlignment="1" applyProtection="1">
      <alignment horizontal="center" vertical="center" wrapText="1"/>
    </xf>
    <xf numFmtId="0" fontId="56" fillId="0" borderId="180" xfId="4" applyFont="1" applyFill="1" applyBorder="1" applyAlignment="1" applyProtection="1">
      <alignment horizontal="center" vertical="center" wrapText="1"/>
    </xf>
    <xf numFmtId="0" fontId="56" fillId="15" borderId="181" xfId="4" applyFont="1" applyFill="1" applyBorder="1" applyAlignment="1" applyProtection="1">
      <alignment horizontal="center" vertical="center" wrapText="1"/>
    </xf>
    <xf numFmtId="0" fontId="56" fillId="15" borderId="41" xfId="4" applyFont="1" applyFill="1" applyBorder="1" applyAlignment="1" applyProtection="1">
      <alignment horizontal="center" vertical="center" wrapText="1"/>
    </xf>
    <xf numFmtId="0" fontId="56" fillId="0" borderId="42" xfId="4" applyFont="1" applyFill="1" applyBorder="1" applyAlignment="1" applyProtection="1">
      <alignment horizontal="center" vertical="center" wrapText="1"/>
    </xf>
    <xf numFmtId="0" fontId="58" fillId="9" borderId="97" xfId="7" applyFont="1" applyFill="1" applyBorder="1" applyAlignment="1">
      <alignment horizontal="center" vertical="center" shrinkToFit="1"/>
    </xf>
    <xf numFmtId="0" fontId="13" fillId="0" borderId="97" xfId="0" applyFont="1" applyBorder="1" applyAlignment="1">
      <alignment horizontal="center" vertical="center"/>
    </xf>
    <xf numFmtId="0" fontId="58" fillId="9" borderId="15" xfId="7" applyFont="1" applyFill="1" applyBorder="1" applyAlignment="1">
      <alignment horizontal="center" vertical="center" shrinkToFit="1"/>
    </xf>
    <xf numFmtId="0" fontId="13" fillId="0" borderId="15" xfId="0" applyFont="1" applyBorder="1" applyAlignment="1">
      <alignment horizontal="center" vertical="center"/>
    </xf>
    <xf numFmtId="0" fontId="60" fillId="0" borderId="97" xfId="0" applyFont="1" applyBorder="1" applyAlignment="1">
      <alignment horizontal="center" vertical="center"/>
    </xf>
    <xf numFmtId="0" fontId="58" fillId="9" borderId="12" xfId="7" applyFont="1" applyFill="1" applyBorder="1" applyAlignment="1">
      <alignment horizontal="center" vertical="center" shrinkToFit="1"/>
    </xf>
    <xf numFmtId="0" fontId="60" fillId="0" borderId="12" xfId="0" applyFont="1" applyBorder="1" applyAlignment="1">
      <alignment horizontal="center" vertical="center"/>
    </xf>
    <xf numFmtId="49" fontId="61" fillId="0" borderId="15" xfId="0" applyNumberFormat="1" applyFont="1" applyBorder="1" applyAlignment="1">
      <alignment horizontal="center" vertical="center" shrinkToFit="1"/>
    </xf>
    <xf numFmtId="0" fontId="57" fillId="16" borderId="18" xfId="7" applyFont="1" applyFill="1" applyBorder="1" applyAlignment="1">
      <alignment horizontal="center" vertical="center" shrinkToFit="1"/>
    </xf>
    <xf numFmtId="0" fontId="57" fillId="16" borderId="98" xfId="7" applyFont="1" applyFill="1" applyBorder="1" applyAlignment="1">
      <alignment horizontal="center" vertical="center" shrinkToFit="1"/>
    </xf>
    <xf numFmtId="176" fontId="58" fillId="9" borderId="97" xfId="7" applyNumberFormat="1" applyFont="1" applyFill="1" applyBorder="1" applyAlignment="1">
      <alignment horizontal="right" vertical="center" shrinkToFit="1"/>
    </xf>
    <xf numFmtId="176" fontId="59" fillId="0" borderId="97" xfId="0" applyNumberFormat="1" applyFont="1" applyBorder="1" applyAlignment="1">
      <alignment horizontal="right" vertical="center"/>
    </xf>
    <xf numFmtId="176" fontId="59" fillId="0" borderId="30" xfId="0" applyNumberFormat="1" applyFont="1" applyBorder="1" applyAlignment="1">
      <alignment horizontal="right" vertical="center"/>
    </xf>
    <xf numFmtId="176" fontId="58" fillId="9" borderId="15" xfId="7" applyNumberFormat="1" applyFont="1" applyFill="1" applyBorder="1" applyAlignment="1">
      <alignment horizontal="right" vertical="center" shrinkToFit="1"/>
    </xf>
    <xf numFmtId="176" fontId="59" fillId="0" borderId="15" xfId="0" applyNumberFormat="1" applyFont="1" applyBorder="1" applyAlignment="1">
      <alignment horizontal="right" vertical="center"/>
    </xf>
    <xf numFmtId="176" fontId="59" fillId="0" borderId="11" xfId="0" applyNumberFormat="1" applyFont="1" applyBorder="1" applyAlignment="1">
      <alignment horizontal="right" vertical="center"/>
    </xf>
    <xf numFmtId="176" fontId="58" fillId="9" borderId="12" xfId="7" applyNumberFormat="1" applyFont="1" applyFill="1" applyBorder="1" applyAlignment="1">
      <alignment horizontal="right" vertical="center" shrinkToFit="1"/>
    </xf>
    <xf numFmtId="176" fontId="59" fillId="0" borderId="12" xfId="0" applyNumberFormat="1" applyFont="1" applyBorder="1" applyAlignment="1">
      <alignment horizontal="right" vertical="center"/>
    </xf>
    <xf numFmtId="176" fontId="59" fillId="0" borderId="106" xfId="0" applyNumberFormat="1" applyFont="1" applyBorder="1" applyAlignment="1">
      <alignment horizontal="right" vertical="center"/>
    </xf>
    <xf numFmtId="0" fontId="57" fillId="16" borderId="98" xfId="7" applyFont="1" applyFill="1" applyBorder="1" applyAlignment="1">
      <alignment horizontal="right" vertical="center" shrinkToFit="1"/>
    </xf>
    <xf numFmtId="176" fontId="57" fillId="16" borderId="98" xfId="7" applyNumberFormat="1" applyFont="1" applyFill="1" applyBorder="1" applyAlignment="1">
      <alignment horizontal="right" vertical="center" shrinkToFit="1"/>
    </xf>
    <xf numFmtId="176" fontId="62" fillId="16" borderId="31" xfId="0" applyNumberFormat="1" applyFont="1" applyFill="1" applyBorder="1" applyAlignment="1">
      <alignment horizontal="right" vertical="center"/>
    </xf>
    <xf numFmtId="0" fontId="58" fillId="9" borderId="112" xfId="7" applyFont="1" applyFill="1" applyBorder="1" applyAlignment="1">
      <alignment horizontal="center" vertical="center" shrinkToFit="1"/>
    </xf>
    <xf numFmtId="0" fontId="63" fillId="18" borderId="130" xfId="0" applyFont="1" applyFill="1" applyBorder="1" applyAlignment="1">
      <alignment horizontal="center" vertical="center" shrinkToFit="1"/>
    </xf>
    <xf numFmtId="0" fontId="58" fillId="0" borderId="112" xfId="7" applyFont="1" applyBorder="1" applyAlignment="1">
      <alignment horizontal="center" vertical="center" shrinkToFit="1"/>
    </xf>
    <xf numFmtId="0" fontId="58" fillId="0" borderId="12" xfId="7" applyFont="1" applyBorder="1" applyAlignment="1">
      <alignment horizontal="center" vertical="center" shrinkToFit="1"/>
    </xf>
    <xf numFmtId="0" fontId="58" fillId="0" borderId="114" xfId="7" applyFont="1" applyBorder="1" applyAlignment="1">
      <alignment horizontal="center" vertical="center" shrinkToFit="1"/>
    </xf>
    <xf numFmtId="0" fontId="58" fillId="9" borderId="115" xfId="7" applyFont="1" applyFill="1" applyBorder="1" applyAlignment="1">
      <alignment horizontal="center" vertical="center" shrinkToFit="1"/>
    </xf>
    <xf numFmtId="176" fontId="63" fillId="18" borderId="12" xfId="0" applyNumberFormat="1" applyFont="1" applyFill="1" applyBorder="1" applyAlignment="1">
      <alignment horizontal="right" vertical="center" shrinkToFit="1"/>
    </xf>
    <xf numFmtId="0" fontId="58" fillId="0" borderId="7" xfId="7" applyFont="1" applyBorder="1" applyAlignment="1">
      <alignment horizontal="center" vertical="center" shrinkToFit="1"/>
    </xf>
    <xf numFmtId="0" fontId="58" fillId="9" borderId="20" xfId="7" applyFont="1" applyFill="1" applyBorder="1" applyAlignment="1">
      <alignment horizontal="center" vertical="center" shrinkToFit="1"/>
    </xf>
    <xf numFmtId="0" fontId="58" fillId="0" borderId="15" xfId="7" applyFont="1" applyBorder="1" applyAlignment="1">
      <alignment horizontal="center" vertical="center" shrinkToFit="1"/>
    </xf>
    <xf numFmtId="0" fontId="57" fillId="16" borderId="18" xfId="7" applyFont="1" applyFill="1" applyBorder="1" applyAlignment="1">
      <alignment horizontal="right" vertical="center" shrinkToFit="1"/>
    </xf>
    <xf numFmtId="0" fontId="57" fillId="16" borderId="110" xfId="7" applyFont="1" applyFill="1" applyBorder="1" applyAlignment="1">
      <alignment horizontal="center" vertical="center" shrinkToFit="1"/>
    </xf>
    <xf numFmtId="176" fontId="57" fillId="16" borderId="110" xfId="7" applyNumberFormat="1" applyFont="1" applyFill="1" applyBorder="1" applyAlignment="1">
      <alignment horizontal="right" vertical="center" shrinkToFit="1"/>
    </xf>
    <xf numFmtId="176" fontId="57" fillId="16" borderId="185" xfId="7" applyNumberFormat="1" applyFont="1" applyFill="1" applyBorder="1" applyAlignment="1">
      <alignment horizontal="right" vertical="center" shrinkToFit="1"/>
    </xf>
    <xf numFmtId="0" fontId="28" fillId="15" borderId="62" xfId="4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5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2" xfId="5" applyFont="1" applyFill="1" applyBorder="1" applyAlignment="1" applyProtection="1">
      <alignment horizontal="center" vertical="center" wrapText="1"/>
    </xf>
    <xf numFmtId="0" fontId="56" fillId="0" borderId="77" xfId="4" applyFont="1" applyFill="1" applyBorder="1" applyAlignment="1" applyProtection="1">
      <alignment horizontal="center" vertical="center" wrapText="1"/>
      <protection locked="0"/>
    </xf>
    <xf numFmtId="0" fontId="56" fillId="0" borderId="7" xfId="4" applyFont="1" applyFill="1" applyBorder="1" applyAlignment="1" applyProtection="1">
      <alignment horizontal="center" vertical="center" wrapText="1"/>
      <protection locked="0"/>
    </xf>
    <xf numFmtId="0" fontId="56" fillId="0" borderId="6" xfId="4" applyFont="1" applyFill="1" applyBorder="1" applyAlignment="1" applyProtection="1">
      <alignment horizontal="center" vertical="center" wrapText="1"/>
      <protection locked="0"/>
    </xf>
    <xf numFmtId="0" fontId="56" fillId="0" borderId="91" xfId="4" applyFont="1" applyFill="1" applyBorder="1" applyAlignment="1" applyProtection="1">
      <alignment horizontal="center" vertical="center" wrapText="1"/>
      <protection locked="0"/>
    </xf>
    <xf numFmtId="0" fontId="56" fillId="0" borderId="50" xfId="0" applyFont="1" applyBorder="1" applyAlignment="1" applyProtection="1">
      <alignment horizontal="center" vertical="center" shrinkToFit="1"/>
      <protection locked="0"/>
    </xf>
    <xf numFmtId="0" fontId="56" fillId="0" borderId="54" xfId="0" applyFont="1" applyBorder="1" applyAlignment="1" applyProtection="1">
      <alignment horizontal="center" vertical="center" shrinkToFit="1"/>
      <protection locked="0"/>
    </xf>
    <xf numFmtId="0" fontId="13" fillId="15" borderId="14" xfId="4" applyFont="1" applyFill="1" applyBorder="1" applyAlignment="1" applyProtection="1">
      <alignment horizontal="center" vertical="center" wrapText="1"/>
    </xf>
    <xf numFmtId="0" fontId="13" fillId="15" borderId="100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13" fillId="15" borderId="80" xfId="4" applyFont="1" applyFill="1" applyBorder="1" applyAlignment="1" applyProtection="1">
      <alignment horizontal="center" vertical="center" wrapText="1"/>
    </xf>
    <xf numFmtId="0" fontId="13" fillId="15" borderId="101" xfId="4" applyFont="1" applyFill="1" applyBorder="1" applyAlignment="1" applyProtection="1">
      <alignment horizontal="center" vertical="center" wrapText="1"/>
    </xf>
    <xf numFmtId="0" fontId="56" fillId="15" borderId="181" xfId="4" applyFont="1" applyFill="1" applyBorder="1" applyAlignment="1" applyProtection="1">
      <alignment horizontal="center" vertical="center" wrapText="1"/>
    </xf>
    <xf numFmtId="0" fontId="56" fillId="15" borderId="62" xfId="4" applyFont="1" applyFill="1" applyBorder="1" applyAlignment="1" applyProtection="1">
      <alignment horizontal="center" vertical="center" wrapText="1"/>
    </xf>
    <xf numFmtId="0" fontId="56" fillId="0" borderId="20" xfId="4" applyFont="1" applyFill="1" applyBorder="1" applyAlignment="1" applyProtection="1">
      <alignment horizontal="center" vertical="center" wrapText="1"/>
      <protection locked="0"/>
    </xf>
    <xf numFmtId="0" fontId="56" fillId="0" borderId="81" xfId="4" applyFont="1" applyFill="1" applyBorder="1" applyAlignment="1" applyProtection="1">
      <alignment horizontal="center" vertical="center" wrapText="1"/>
      <protection locked="0"/>
    </xf>
    <xf numFmtId="0" fontId="56" fillId="0" borderId="61" xfId="4" applyFont="1" applyFill="1" applyBorder="1" applyAlignment="1" applyProtection="1">
      <alignment horizontal="center" vertical="center" wrapText="1"/>
      <protection locked="0"/>
    </xf>
    <xf numFmtId="0" fontId="56" fillId="0" borderId="125" xfId="4" applyFont="1" applyFill="1" applyBorder="1" applyAlignment="1" applyProtection="1">
      <alignment horizontal="center" vertical="center" wrapText="1"/>
      <protection locked="0"/>
    </xf>
    <xf numFmtId="0" fontId="56" fillId="0" borderId="68" xfId="4" applyFont="1" applyFill="1" applyBorder="1" applyAlignment="1" applyProtection="1">
      <alignment horizontal="center" vertical="center" wrapText="1"/>
      <protection locked="0"/>
    </xf>
    <xf numFmtId="0" fontId="56" fillId="0" borderId="123" xfId="4" applyFont="1" applyFill="1" applyBorder="1" applyAlignment="1" applyProtection="1">
      <alignment horizontal="center" vertical="center" wrapText="1"/>
      <protection locked="0"/>
    </xf>
    <xf numFmtId="0" fontId="56" fillId="0" borderId="52" xfId="4" applyFont="1" applyFill="1" applyBorder="1" applyAlignment="1" applyProtection="1">
      <alignment horizontal="center" vertical="center" wrapText="1"/>
      <protection locked="0"/>
    </xf>
    <xf numFmtId="0" fontId="56" fillId="0" borderId="67" xfId="4" applyFont="1" applyFill="1" applyBorder="1" applyAlignment="1" applyProtection="1">
      <alignment horizontal="center" vertical="center" wrapText="1"/>
      <protection locked="0"/>
    </xf>
    <xf numFmtId="0" fontId="56" fillId="0" borderId="25" xfId="4" applyFont="1" applyFill="1" applyBorder="1" applyAlignment="1" applyProtection="1">
      <alignment horizontal="center" vertical="center" wrapText="1"/>
      <protection locked="0"/>
    </xf>
    <xf numFmtId="0" fontId="56" fillId="0" borderId="21" xfId="4" applyFont="1" applyFill="1" applyBorder="1" applyAlignment="1" applyProtection="1">
      <alignment horizontal="center" vertical="center" wrapText="1"/>
      <protection locked="0"/>
    </xf>
    <xf numFmtId="0" fontId="56" fillId="0" borderId="63" xfId="4" applyFont="1" applyFill="1" applyBorder="1" applyAlignment="1" applyProtection="1">
      <alignment horizontal="center" vertical="center" wrapText="1"/>
      <protection locked="0"/>
    </xf>
    <xf numFmtId="0" fontId="56" fillId="0" borderId="22" xfId="4" applyFont="1" applyFill="1" applyBorder="1" applyAlignment="1" applyProtection="1">
      <alignment horizontal="center" vertical="center" wrapText="1"/>
      <protection locked="0"/>
    </xf>
    <xf numFmtId="0" fontId="56" fillId="0" borderId="124" xfId="4" applyFont="1" applyFill="1" applyBorder="1" applyAlignment="1" applyProtection="1">
      <alignment horizontal="center" vertical="center" wrapText="1"/>
      <protection locked="0"/>
    </xf>
    <xf numFmtId="0" fontId="56" fillId="0" borderId="173" xfId="4" applyFont="1" applyFill="1" applyBorder="1" applyAlignment="1" applyProtection="1">
      <alignment horizontal="center" vertical="center" wrapText="1"/>
      <protection locked="0"/>
    </xf>
    <xf numFmtId="0" fontId="56" fillId="0" borderId="170" xfId="4" applyFont="1" applyFill="1" applyBorder="1" applyAlignment="1" applyProtection="1">
      <alignment horizontal="center" vertical="center" wrapText="1"/>
      <protection locked="0"/>
    </xf>
    <xf numFmtId="0" fontId="56" fillId="0" borderId="19" xfId="4" applyFont="1" applyFill="1" applyBorder="1" applyAlignment="1" applyProtection="1">
      <alignment horizontal="center" vertical="center" wrapText="1"/>
      <protection locked="0"/>
    </xf>
    <xf numFmtId="0" fontId="56" fillId="0" borderId="56" xfId="0" applyFont="1" applyBorder="1" applyAlignment="1" applyProtection="1">
      <alignment horizontal="center" vertical="center" shrinkToFit="1"/>
      <protection locked="0"/>
    </xf>
    <xf numFmtId="0" fontId="56" fillId="0" borderId="53" xfId="0" applyFont="1" applyBorder="1" applyAlignment="1" applyProtection="1">
      <alignment horizontal="center" vertical="center" shrinkToFit="1"/>
      <protection locked="0"/>
    </xf>
    <xf numFmtId="0" fontId="9" fillId="15" borderId="14" xfId="4" applyFont="1" applyFill="1" applyBorder="1" applyAlignment="1" applyProtection="1">
      <alignment horizontal="center" vertical="center" wrapText="1"/>
    </xf>
    <xf numFmtId="0" fontId="9" fillId="15" borderId="17" xfId="4" applyFont="1" applyFill="1" applyBorder="1" applyAlignment="1" applyProtection="1">
      <alignment horizontal="center" vertical="center" wrapText="1"/>
    </xf>
    <xf numFmtId="0" fontId="9" fillId="15" borderId="80" xfId="4" applyFont="1" applyFill="1" applyBorder="1" applyAlignment="1" applyProtection="1">
      <alignment horizontal="center" vertical="center" wrapText="1"/>
    </xf>
    <xf numFmtId="0" fontId="56" fillId="0" borderId="121" xfId="4" applyFont="1" applyFill="1" applyBorder="1" applyAlignment="1" applyProtection="1">
      <alignment horizontal="center" vertical="center" wrapText="1"/>
      <protection locked="0"/>
    </xf>
    <xf numFmtId="0" fontId="56" fillId="0" borderId="122" xfId="4" applyFont="1" applyFill="1" applyBorder="1" applyAlignment="1" applyProtection="1">
      <alignment horizontal="center" vertical="center" wrapText="1"/>
      <protection locked="0"/>
    </xf>
    <xf numFmtId="0" fontId="56" fillId="0" borderId="171" xfId="4" applyFont="1" applyFill="1" applyBorder="1" applyAlignment="1" applyProtection="1">
      <alignment horizontal="center" vertical="center" wrapText="1"/>
      <protection locked="0"/>
    </xf>
    <xf numFmtId="0" fontId="56" fillId="0" borderId="172" xfId="4" applyFont="1" applyFill="1" applyBorder="1" applyAlignment="1" applyProtection="1">
      <alignment horizontal="center" vertical="center" wrapText="1"/>
      <protection locked="0"/>
    </xf>
    <xf numFmtId="0" fontId="56" fillId="0" borderId="178" xfId="4" applyFont="1" applyFill="1" applyBorder="1" applyAlignment="1" applyProtection="1">
      <alignment horizontal="center" vertical="center" wrapText="1"/>
      <protection locked="0"/>
    </xf>
    <xf numFmtId="0" fontId="56" fillId="0" borderId="176" xfId="4" applyFont="1" applyFill="1" applyBorder="1" applyAlignment="1" applyProtection="1">
      <alignment horizontal="center" vertical="center" wrapText="1"/>
      <protection locked="0"/>
    </xf>
    <xf numFmtId="0" fontId="56" fillId="0" borderId="90" xfId="4" applyFont="1" applyFill="1" applyBorder="1" applyAlignment="1" applyProtection="1">
      <alignment horizontal="center" vertical="center" wrapText="1"/>
      <protection locked="0"/>
    </xf>
    <xf numFmtId="0" fontId="56" fillId="0" borderId="49" xfId="0" applyFont="1" applyBorder="1" applyAlignment="1" applyProtection="1">
      <alignment horizontal="center" vertical="center" shrinkToFit="1"/>
      <protection locked="0"/>
    </xf>
    <xf numFmtId="0" fontId="56" fillId="0" borderId="60" xfId="0" applyFont="1" applyBorder="1" applyAlignment="1" applyProtection="1">
      <alignment horizontal="center" vertical="center" shrinkToFit="1"/>
      <protection locked="0"/>
    </xf>
    <xf numFmtId="0" fontId="56" fillId="0" borderId="49" xfId="4" applyFont="1" applyFill="1" applyBorder="1" applyAlignment="1" applyProtection="1">
      <alignment horizontal="center" vertical="center" wrapText="1"/>
      <protection locked="0"/>
    </xf>
    <xf numFmtId="0" fontId="56" fillId="0" borderId="51" xfId="4" applyFont="1" applyFill="1" applyBorder="1" applyAlignment="1" applyProtection="1">
      <alignment horizontal="center" vertical="center" wrapText="1"/>
      <protection locked="0"/>
    </xf>
    <xf numFmtId="0" fontId="56" fillId="0" borderId="71" xfId="4" applyFont="1" applyFill="1" applyBorder="1" applyAlignment="1" applyProtection="1">
      <alignment horizontal="center" vertical="center" wrapText="1"/>
      <protection locked="0"/>
    </xf>
    <xf numFmtId="0" fontId="56" fillId="0" borderId="117" xfId="4" applyFont="1" applyFill="1" applyBorder="1" applyAlignment="1" applyProtection="1">
      <alignment horizontal="center" vertical="center" wrapText="1"/>
      <protection locked="0"/>
    </xf>
    <xf numFmtId="0" fontId="56" fillId="0" borderId="56" xfId="4" applyFont="1" applyFill="1" applyBorder="1" applyAlignment="1" applyProtection="1">
      <alignment horizontal="center" vertical="center" wrapText="1"/>
      <protection locked="0"/>
    </xf>
    <xf numFmtId="0" fontId="56" fillId="0" borderId="35" xfId="4" applyFont="1" applyFill="1" applyBorder="1" applyAlignment="1" applyProtection="1">
      <alignment horizontal="center" vertical="center" wrapText="1"/>
      <protection locked="0"/>
    </xf>
    <xf numFmtId="0" fontId="56" fillId="0" borderId="54" xfId="4" applyFont="1" applyFill="1" applyBorder="1" applyAlignment="1" applyProtection="1">
      <alignment horizontal="center" vertical="center" wrapText="1"/>
      <protection locked="0"/>
    </xf>
    <xf numFmtId="0" fontId="56" fillId="0" borderId="175" xfId="4" applyFont="1" applyFill="1" applyBorder="1" applyAlignment="1" applyProtection="1">
      <alignment horizontal="center" vertical="center" wrapText="1"/>
      <protection locked="0"/>
    </xf>
    <xf numFmtId="0" fontId="56" fillId="0" borderId="37" xfId="4" applyFont="1" applyFill="1" applyBorder="1" applyAlignment="1" applyProtection="1">
      <alignment horizontal="center" vertical="center" wrapText="1"/>
      <protection locked="0"/>
    </xf>
    <xf numFmtId="0" fontId="56" fillId="0" borderId="177" xfId="4" applyFont="1" applyFill="1" applyBorder="1" applyAlignment="1" applyProtection="1">
      <alignment horizontal="center" vertical="center" wrapText="1"/>
      <protection locked="0"/>
    </xf>
    <xf numFmtId="0" fontId="56" fillId="0" borderId="50" xfId="4" applyFont="1" applyFill="1" applyBorder="1" applyAlignment="1" applyProtection="1">
      <alignment horizontal="center" vertical="center" wrapText="1"/>
      <protection locked="0"/>
    </xf>
    <xf numFmtId="0" fontId="56" fillId="0" borderId="36" xfId="4" applyFont="1" applyFill="1" applyBorder="1" applyAlignment="1" applyProtection="1">
      <alignment horizontal="center" vertical="center" wrapText="1"/>
      <protection locked="0"/>
    </xf>
    <xf numFmtId="0" fontId="56" fillId="0" borderId="119" xfId="4" applyFont="1" applyFill="1" applyBorder="1" applyAlignment="1" applyProtection="1">
      <alignment horizontal="center" vertical="center" wrapText="1"/>
      <protection locked="0"/>
    </xf>
    <xf numFmtId="0" fontId="56" fillId="0" borderId="120" xfId="4" applyFont="1" applyFill="1" applyBorder="1" applyAlignment="1" applyProtection="1">
      <alignment horizontal="center" vertical="center" wrapText="1"/>
      <protection locked="0"/>
    </xf>
    <xf numFmtId="0" fontId="56" fillId="0" borderId="73" xfId="4" applyFont="1" applyFill="1" applyBorder="1" applyAlignment="1" applyProtection="1">
      <alignment horizontal="center" vertical="center" wrapText="1"/>
      <protection locked="0"/>
    </xf>
    <xf numFmtId="0" fontId="56" fillId="15" borderId="75" xfId="4" applyFont="1" applyFill="1" applyBorder="1" applyAlignment="1" applyProtection="1">
      <alignment horizontal="center" vertical="center" wrapText="1"/>
    </xf>
    <xf numFmtId="0" fontId="56" fillId="15" borderId="103" xfId="4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5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13" fillId="15" borderId="80" xfId="0" applyFont="1" applyFill="1" applyBorder="1" applyAlignment="1">
      <alignment horizontal="center" vertical="center" wrapText="1"/>
    </xf>
    <xf numFmtId="0" fontId="56" fillId="0" borderId="118" xfId="4" applyFont="1" applyFill="1" applyBorder="1" applyAlignment="1" applyProtection="1">
      <alignment horizontal="center" vertical="center" wrapText="1"/>
      <protection locked="0"/>
    </xf>
    <xf numFmtId="0" fontId="56" fillId="0" borderId="60" xfId="4" applyFont="1" applyFill="1" applyBorder="1" applyAlignment="1" applyProtection="1">
      <alignment horizontal="center" vertical="center" wrapText="1"/>
      <protection locked="0"/>
    </xf>
    <xf numFmtId="0" fontId="37" fillId="15" borderId="14" xfId="0" applyFont="1" applyFill="1" applyBorder="1" applyAlignment="1">
      <alignment horizontal="center" vertical="center" wrapText="1"/>
    </xf>
    <xf numFmtId="0" fontId="37" fillId="15" borderId="17" xfId="0" applyFont="1" applyFill="1" applyBorder="1" applyAlignment="1">
      <alignment horizontal="center" vertical="center" wrapText="1"/>
    </xf>
    <xf numFmtId="0" fontId="56" fillId="0" borderId="46" xfId="0" applyFont="1" applyBorder="1" applyAlignment="1" applyProtection="1">
      <alignment horizontal="center" vertical="center" wrapText="1"/>
      <protection locked="0"/>
    </xf>
    <xf numFmtId="0" fontId="56" fillId="0" borderId="48" xfId="0" applyFont="1" applyBorder="1" applyAlignment="1" applyProtection="1">
      <alignment horizontal="center" vertical="center" wrapText="1"/>
      <protection locked="0"/>
    </xf>
    <xf numFmtId="0" fontId="56" fillId="0" borderId="46" xfId="4" applyFont="1" applyFill="1" applyBorder="1" applyAlignment="1" applyProtection="1">
      <alignment horizontal="center" vertical="center" wrapText="1"/>
      <protection locked="0"/>
    </xf>
    <xf numFmtId="0" fontId="56" fillId="0" borderId="47" xfId="4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0" borderId="107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5" borderId="72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121" xfId="4" applyFont="1" applyFill="1" applyBorder="1" applyAlignment="1" applyProtection="1">
      <alignment horizontal="center" vertical="center" wrapText="1"/>
    </xf>
    <xf numFmtId="0" fontId="13" fillId="15" borderId="122" xfId="4" applyFont="1" applyFill="1" applyBorder="1" applyAlignment="1" applyProtection="1">
      <alignment horizontal="center" vertical="center" wrapText="1"/>
    </xf>
    <xf numFmtId="0" fontId="13" fillId="15" borderId="123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22" fillId="13" borderId="24" xfId="0" applyFont="1" applyFill="1" applyBorder="1" applyAlignment="1" applyProtection="1">
      <alignment horizontal="center" vertical="center"/>
      <protection locked="0"/>
    </xf>
    <xf numFmtId="0" fontId="22" fillId="13" borderId="29" xfId="0" applyFont="1" applyFill="1" applyBorder="1" applyAlignment="1" applyProtection="1">
      <alignment horizontal="center" vertical="center"/>
      <protection locked="0"/>
    </xf>
    <xf numFmtId="0" fontId="13" fillId="15" borderId="50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68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80" xfId="4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125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79" xfId="6" applyFont="1" applyFill="1" applyBorder="1" applyAlignment="1" applyProtection="1">
      <alignment horizontal="center" vertical="center" wrapText="1"/>
    </xf>
    <xf numFmtId="0" fontId="13" fillId="15" borderId="60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15" borderId="104" xfId="6" applyFont="1" applyFill="1" applyBorder="1" applyAlignment="1" applyProtection="1">
      <alignment horizontal="center" vertical="center" wrapText="1"/>
    </xf>
    <xf numFmtId="0" fontId="13" fillId="15" borderId="105" xfId="6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6" borderId="100" xfId="4" applyFont="1" applyFill="1" applyBorder="1" applyAlignment="1" applyProtection="1">
      <alignment horizontal="center" vertical="center" wrapText="1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56" fillId="0" borderId="41" xfId="0" applyFont="1" applyBorder="1" applyAlignment="1" applyProtection="1">
      <alignment horizontal="center" vertical="center" shrinkToFit="1"/>
      <protection locked="0"/>
    </xf>
    <xf numFmtId="0" fontId="56" fillId="0" borderId="43" xfId="0" applyFont="1" applyBorder="1" applyAlignment="1" applyProtection="1">
      <alignment horizontal="center" vertical="center" shrinkToFit="1"/>
      <protection locked="0"/>
    </xf>
    <xf numFmtId="0" fontId="56" fillId="0" borderId="44" xfId="0" applyFont="1" applyBorder="1" applyAlignment="1" applyProtection="1">
      <alignment horizontal="center" vertical="center" shrinkToFit="1"/>
      <protection locked="0"/>
    </xf>
    <xf numFmtId="0" fontId="56" fillId="0" borderId="45" xfId="0" applyFont="1" applyBorder="1" applyAlignment="1" applyProtection="1">
      <alignment horizontal="center" vertical="center" shrinkToFit="1"/>
      <protection locked="0"/>
    </xf>
    <xf numFmtId="0" fontId="56" fillId="0" borderId="28" xfId="4" applyFont="1" applyFill="1" applyBorder="1" applyAlignment="1" applyProtection="1">
      <alignment horizontal="center" vertical="center" wrapText="1"/>
      <protection locked="0"/>
    </xf>
    <xf numFmtId="0" fontId="56" fillId="0" borderId="0" xfId="4" applyFont="1" applyFill="1" applyBorder="1" applyAlignment="1" applyProtection="1">
      <alignment horizontal="center" vertical="center" wrapText="1"/>
      <protection locked="0"/>
    </xf>
    <xf numFmtId="0" fontId="56" fillId="0" borderId="104" xfId="4" applyFont="1" applyFill="1" applyBorder="1" applyAlignment="1" applyProtection="1">
      <alignment horizontal="center" vertical="center" wrapText="1"/>
      <protection locked="0"/>
    </xf>
    <xf numFmtId="0" fontId="13" fillId="10" borderId="76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124" xfId="6" applyFont="1" applyFill="1" applyBorder="1" applyAlignment="1" applyProtection="1">
      <alignment horizontal="center" vertical="center" wrapText="1"/>
    </xf>
    <xf numFmtId="0" fontId="13" fillId="10" borderId="90" xfId="6" applyFont="1" applyFill="1" applyBorder="1" applyAlignment="1" applyProtection="1">
      <alignment horizontal="center" vertical="center" wrapText="1"/>
    </xf>
    <xf numFmtId="0" fontId="13" fillId="15" borderId="28" xfId="4" applyFont="1" applyFill="1" applyBorder="1" applyAlignment="1" applyProtection="1">
      <alignment horizontal="center" vertical="center" wrapText="1"/>
    </xf>
    <xf numFmtId="0" fontId="13" fillId="15" borderId="0" xfId="4" applyFont="1" applyFill="1" applyBorder="1" applyAlignment="1" applyProtection="1">
      <alignment horizontal="center" vertical="center" wrapText="1"/>
    </xf>
    <xf numFmtId="0" fontId="56" fillId="0" borderId="4" xfId="4" applyFont="1" applyFill="1" applyBorder="1" applyAlignment="1" applyProtection="1">
      <alignment horizontal="center" vertical="center" wrapText="1"/>
      <protection locked="0"/>
    </xf>
    <xf numFmtId="0" fontId="13" fillId="6" borderId="25" xfId="4" applyFont="1" applyFill="1" applyBorder="1" applyAlignment="1" applyProtection="1">
      <alignment horizontal="center" vertical="center" wrapText="1"/>
    </xf>
    <xf numFmtId="0" fontId="13" fillId="6" borderId="21" xfId="4" applyFont="1" applyFill="1" applyBorder="1" applyAlignment="1" applyProtection="1">
      <alignment horizontal="center" vertical="center" wrapText="1"/>
    </xf>
    <xf numFmtId="0" fontId="56" fillId="0" borderId="104" xfId="2" applyFont="1" applyBorder="1" applyAlignment="1" applyProtection="1">
      <alignment horizontal="center" vertical="center" wrapText="1"/>
      <protection locked="0"/>
    </xf>
    <xf numFmtId="0" fontId="56" fillId="0" borderId="105" xfId="2" applyFont="1" applyBorder="1" applyAlignment="1" applyProtection="1">
      <alignment horizontal="center" vertical="center" wrapText="1"/>
      <protection locked="0"/>
    </xf>
    <xf numFmtId="0" fontId="56" fillId="0" borderId="50" xfId="2" applyFont="1" applyBorder="1" applyAlignment="1" applyProtection="1">
      <alignment horizontal="center" vertical="center" wrapText="1"/>
      <protection locked="0"/>
    </xf>
    <xf numFmtId="0" fontId="56" fillId="0" borderId="54" xfId="2" applyFont="1" applyBorder="1" applyAlignment="1" applyProtection="1">
      <alignment horizontal="center" vertical="center" wrapText="1"/>
      <protection locked="0"/>
    </xf>
    <xf numFmtId="0" fontId="56" fillId="0" borderId="175" xfId="0" applyFont="1" applyBorder="1" applyAlignment="1" applyProtection="1">
      <alignment horizontal="center" vertical="center" shrinkToFit="1"/>
      <protection locked="0"/>
    </xf>
    <xf numFmtId="0" fontId="56" fillId="0" borderId="73" xfId="0" applyFont="1" applyBorder="1" applyAlignment="1" applyProtection="1">
      <alignment horizontal="center" vertical="center" shrinkToFit="1"/>
      <protection locked="0"/>
    </xf>
    <xf numFmtId="0" fontId="56" fillId="0" borderId="48" xfId="4" applyFont="1" applyFill="1" applyBorder="1" applyAlignment="1" applyProtection="1">
      <alignment horizontal="center" vertical="center" wrapText="1"/>
      <protection locked="0"/>
    </xf>
    <xf numFmtId="0" fontId="13" fillId="15" borderId="56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13" fillId="10" borderId="87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5" borderId="50" xfId="5" applyFont="1" applyFill="1" applyBorder="1" applyAlignment="1" applyProtection="1">
      <alignment horizontal="center" vertical="center" wrapText="1"/>
    </xf>
    <xf numFmtId="0" fontId="13" fillId="15" borderId="54" xfId="5" applyFont="1" applyFill="1" applyBorder="1" applyAlignment="1" applyProtection="1">
      <alignment horizontal="center" vertical="center" wrapText="1"/>
    </xf>
    <xf numFmtId="0" fontId="56" fillId="0" borderId="70" xfId="4" applyFont="1" applyFill="1" applyBorder="1" applyAlignment="1" applyProtection="1">
      <alignment horizontal="center" vertical="center" wrapText="1"/>
      <protection locked="0"/>
    </xf>
    <xf numFmtId="0" fontId="13" fillId="6" borderId="33" xfId="4" applyFont="1" applyFill="1" applyBorder="1" applyAlignment="1" applyProtection="1">
      <alignment horizontal="center" vertical="center" wrapText="1"/>
    </xf>
    <xf numFmtId="0" fontId="56" fillId="0" borderId="53" xfId="4" applyFont="1" applyFill="1" applyBorder="1" applyAlignment="1" applyProtection="1">
      <alignment horizontal="center" vertical="center" wrapText="1"/>
      <protection locked="0"/>
    </xf>
    <xf numFmtId="0" fontId="13" fillId="15" borderId="75" xfId="5" applyFont="1" applyFill="1" applyBorder="1" applyAlignment="1" applyProtection="1">
      <alignment horizontal="center" vertical="center" wrapText="1"/>
    </xf>
    <xf numFmtId="0" fontId="13" fillId="15" borderId="78" xfId="5" applyFont="1" applyFill="1" applyBorder="1" applyAlignment="1" applyProtection="1">
      <alignment horizontal="center" vertical="center" wrapText="1"/>
    </xf>
    <xf numFmtId="0" fontId="13" fillId="15" borderId="62" xfId="5" applyFont="1" applyFill="1" applyBorder="1" applyAlignment="1" applyProtection="1">
      <alignment horizontal="center" vertical="center" wrapText="1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wrapText="1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107" xfId="0" applyFont="1" applyBorder="1" applyAlignment="1" applyProtection="1">
      <alignment horizontal="center" vertical="center"/>
      <protection locked="0"/>
    </xf>
    <xf numFmtId="0" fontId="21" fillId="0" borderId="29" xfId="0" applyFont="1" applyBorder="1" applyAlignment="1" applyProtection="1">
      <alignment horizontal="center" vertical="center"/>
      <protection locked="0"/>
    </xf>
    <xf numFmtId="0" fontId="21" fillId="0" borderId="24" xfId="0" applyFont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 wrapText="1"/>
      <protection locked="0"/>
    </xf>
    <xf numFmtId="0" fontId="21" fillId="0" borderId="23" xfId="0" applyFont="1" applyBorder="1" applyAlignment="1" applyProtection="1">
      <alignment horizontal="center" vertical="center" wrapText="1"/>
      <protection locked="0"/>
    </xf>
    <xf numFmtId="0" fontId="21" fillId="0" borderId="29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79" xfId="3" applyFont="1" applyFill="1" applyBorder="1" applyAlignment="1" applyProtection="1">
      <alignment horizontal="center" vertical="center" wrapText="1"/>
      <protection locked="0"/>
    </xf>
    <xf numFmtId="0" fontId="14" fillId="4" borderId="6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4" fillId="4" borderId="71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24" fillId="3" borderId="37" xfId="3" applyFont="1" applyBorder="1" applyAlignment="1" applyProtection="1">
      <alignment horizontal="center" vertical="center"/>
      <protection locked="0"/>
    </xf>
    <xf numFmtId="0" fontId="24" fillId="3" borderId="73" xfId="3" applyFont="1" applyBorder="1" applyAlignment="1" applyProtection="1">
      <alignment horizontal="center" vertical="center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89" xfId="3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80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29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5" xfId="0" applyFont="1" applyFill="1" applyBorder="1" applyAlignment="1" applyProtection="1">
      <alignment horizontal="center" vertical="center"/>
      <protection locked="0"/>
    </xf>
    <xf numFmtId="0" fontId="12" fillId="8" borderId="99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3" fillId="10" borderId="83" xfId="6" applyFont="1" applyFill="1" applyBorder="1" applyAlignment="1" applyProtection="1">
      <alignment horizontal="center" vertical="center" wrapText="1"/>
    </xf>
    <xf numFmtId="0" fontId="56" fillId="0" borderId="174" xfId="4" applyFont="1" applyFill="1" applyBorder="1" applyAlignment="1" applyProtection="1">
      <alignment horizontal="center" vertical="center" wrapText="1"/>
      <protection locked="0"/>
    </xf>
    <xf numFmtId="0" fontId="56" fillId="0" borderId="105" xfId="4" applyFont="1" applyFill="1" applyBorder="1" applyAlignment="1" applyProtection="1">
      <alignment horizontal="center" vertical="center" wrapText="1"/>
      <protection locked="0"/>
    </xf>
    <xf numFmtId="0" fontId="13" fillId="15" borderId="104" xfId="5" applyFont="1" applyFill="1" applyBorder="1" applyAlignment="1" applyProtection="1">
      <alignment horizontal="center" vertical="center" wrapText="1"/>
    </xf>
    <xf numFmtId="0" fontId="13" fillId="15" borderId="105" xfId="5" applyFont="1" applyFill="1" applyBorder="1" applyAlignment="1" applyProtection="1">
      <alignment horizontal="center" vertical="center" wrapText="1"/>
    </xf>
    <xf numFmtId="0" fontId="17" fillId="11" borderId="109" xfId="7" applyFont="1" applyFill="1" applyBorder="1" applyAlignment="1">
      <alignment horizontal="center" vertical="center" shrinkToFit="1"/>
    </xf>
    <xf numFmtId="0" fontId="17" fillId="11" borderId="10" xfId="7" applyFont="1" applyFill="1" applyBorder="1" applyAlignment="1">
      <alignment horizontal="center" vertical="center" shrinkToFit="1"/>
    </xf>
    <xf numFmtId="0" fontId="17" fillId="11" borderId="108" xfId="7" applyFont="1" applyFill="1" applyBorder="1" applyAlignment="1">
      <alignment horizontal="center" vertical="center"/>
    </xf>
    <xf numFmtId="0" fontId="17" fillId="11" borderId="114" xfId="7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5" fillId="8" borderId="84" xfId="0" applyFont="1" applyFill="1" applyBorder="1" applyAlignment="1">
      <alignment horizontal="center" vertical="center"/>
    </xf>
    <xf numFmtId="0" fontId="25" fillId="8" borderId="92" xfId="0" applyFont="1" applyFill="1" applyBorder="1" applyAlignment="1">
      <alignment horizontal="center" vertical="center"/>
    </xf>
    <xf numFmtId="0" fontId="25" fillId="8" borderId="93" xfId="0" applyFont="1" applyFill="1" applyBorder="1" applyAlignment="1">
      <alignment horizontal="center" vertical="center"/>
    </xf>
    <xf numFmtId="0" fontId="25" fillId="8" borderId="57" xfId="0" applyFont="1" applyFill="1" applyBorder="1" applyAlignment="1">
      <alignment horizontal="center" vertical="center"/>
    </xf>
    <xf numFmtId="0" fontId="25" fillId="8" borderId="59" xfId="0" applyFont="1" applyFill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7" fillId="11" borderId="99" xfId="7" applyFont="1" applyFill="1" applyBorder="1" applyAlignment="1">
      <alignment horizontal="center" vertical="center" wrapText="1"/>
    </xf>
    <xf numFmtId="0" fontId="17" fillId="11" borderId="26" xfId="7" applyFont="1" applyFill="1" applyBorder="1" applyAlignment="1">
      <alignment horizontal="center" vertical="center" wrapText="1"/>
    </xf>
    <xf numFmtId="0" fontId="17" fillId="11" borderId="109" xfId="7" applyFont="1" applyFill="1" applyBorder="1" applyAlignment="1">
      <alignment horizontal="center" vertical="center" wrapText="1"/>
    </xf>
    <xf numFmtId="0" fontId="17" fillId="11" borderId="10" xfId="7" applyFont="1" applyFill="1" applyBorder="1" applyAlignment="1">
      <alignment horizontal="center" vertical="center" wrapText="1"/>
    </xf>
    <xf numFmtId="0" fontId="58" fillId="9" borderId="99" xfId="7" applyFont="1" applyFill="1" applyBorder="1" applyAlignment="1">
      <alignment horizontal="center" vertical="center" wrapText="1"/>
    </xf>
    <xf numFmtId="0" fontId="58" fillId="9" borderId="26" xfId="7" applyFont="1" applyFill="1" applyBorder="1" applyAlignment="1">
      <alignment horizontal="center" vertical="center" wrapText="1"/>
    </xf>
    <xf numFmtId="0" fontId="58" fillId="9" borderId="27" xfId="7" applyFont="1" applyFill="1" applyBorder="1" applyAlignment="1">
      <alignment horizontal="center" vertical="center" wrapText="1"/>
    </xf>
    <xf numFmtId="176" fontId="58" fillId="9" borderId="109" xfId="7" applyNumberFormat="1" applyFont="1" applyFill="1" applyBorder="1" applyAlignment="1">
      <alignment horizontal="center" vertical="center" wrapText="1"/>
    </xf>
    <xf numFmtId="176" fontId="58" fillId="9" borderId="10" xfId="7" applyNumberFormat="1" applyFont="1" applyFill="1" applyBorder="1" applyAlignment="1">
      <alignment horizontal="center" vertical="center" wrapText="1"/>
    </xf>
    <xf numFmtId="176" fontId="58" fillId="9" borderId="110" xfId="7" applyNumberFormat="1" applyFont="1" applyFill="1" applyBorder="1" applyAlignment="1">
      <alignment horizontal="center" vertical="center" wrapText="1"/>
    </xf>
    <xf numFmtId="0" fontId="57" fillId="16" borderId="8" xfId="7" applyFont="1" applyFill="1" applyBorder="1" applyAlignment="1">
      <alignment horizontal="center" vertical="center" shrinkToFit="1"/>
    </xf>
    <xf numFmtId="0" fontId="57" fillId="16" borderId="18" xfId="7" applyFont="1" applyFill="1" applyBorder="1" applyAlignment="1">
      <alignment horizontal="center" vertical="center" shrinkToFit="1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7" fillId="11" borderId="116" xfId="7" applyFont="1" applyFill="1" applyBorder="1" applyAlignment="1">
      <alignment horizontal="center" vertical="center"/>
    </xf>
    <xf numFmtId="0" fontId="17" fillId="11" borderId="183" xfId="7" applyFont="1" applyFill="1" applyBorder="1" applyAlignment="1">
      <alignment horizontal="center" vertical="center"/>
    </xf>
    <xf numFmtId="0" fontId="17" fillId="11" borderId="113" xfId="7" applyFont="1" applyFill="1" applyBorder="1" applyAlignment="1">
      <alignment horizontal="center" vertical="center"/>
    </xf>
    <xf numFmtId="0" fontId="26" fillId="11" borderId="184" xfId="7" applyFont="1" applyFill="1" applyBorder="1" applyAlignment="1">
      <alignment horizontal="center" vertical="center" wrapText="1"/>
    </xf>
    <xf numFmtId="0" fontId="26" fillId="11" borderId="182" xfId="7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31" fillId="0" borderId="25" xfId="0" applyFont="1" applyBorder="1" applyAlignment="1">
      <alignment horizontal="left" vertical="center"/>
    </xf>
    <xf numFmtId="0" fontId="26" fillId="11" borderId="109" xfId="7" applyFont="1" applyFill="1" applyBorder="1" applyAlignment="1">
      <alignment horizontal="center" vertical="center" wrapText="1"/>
    </xf>
    <xf numFmtId="0" fontId="26" fillId="11" borderId="10" xfId="7" applyFont="1" applyFill="1" applyBorder="1" applyAlignment="1">
      <alignment horizontal="center" vertical="center" wrapText="1"/>
    </xf>
    <xf numFmtId="0" fontId="13" fillId="10" borderId="6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78" xfId="6" applyFont="1" applyFill="1" applyBorder="1" applyAlignment="1" applyProtection="1">
      <alignment horizontal="center" vertical="center" wrapText="1"/>
    </xf>
    <xf numFmtId="0" fontId="28" fillId="0" borderId="67" xfId="4" applyFont="1" applyFill="1" applyBorder="1" applyAlignment="1" applyProtection="1">
      <alignment horizontal="center" vertical="center" wrapText="1"/>
      <protection locked="0"/>
    </xf>
    <xf numFmtId="0" fontId="28" fillId="0" borderId="28" xfId="4" applyFont="1" applyFill="1" applyBorder="1" applyAlignment="1" applyProtection="1">
      <alignment horizontal="center" vertical="center" wrapText="1"/>
      <protection locked="0"/>
    </xf>
    <xf numFmtId="0" fontId="28" fillId="0" borderId="63" xfId="4" applyFont="1" applyFill="1" applyBorder="1" applyAlignment="1" applyProtection="1">
      <alignment horizontal="center" vertical="center" wrapText="1"/>
      <protection locked="0"/>
    </xf>
    <xf numFmtId="0" fontId="28" fillId="0" borderId="3" xfId="4" applyFont="1" applyFill="1" applyBorder="1" applyAlignment="1" applyProtection="1">
      <alignment horizontal="center" vertical="center" wrapText="1"/>
      <protection locked="0"/>
    </xf>
    <xf numFmtId="0" fontId="28" fillId="0" borderId="118" xfId="4" applyFont="1" applyFill="1" applyBorder="1" applyAlignment="1" applyProtection="1">
      <alignment horizontal="center" vertical="center" wrapText="1"/>
      <protection locked="0"/>
    </xf>
    <xf numFmtId="0" fontId="28" fillId="0" borderId="51" xfId="4" applyFont="1" applyFill="1" applyBorder="1" applyAlignment="1" applyProtection="1">
      <alignment horizontal="center" vertical="center" wrapText="1"/>
      <protection locked="0"/>
    </xf>
    <xf numFmtId="0" fontId="28" fillId="0" borderId="71" xfId="4" applyFont="1" applyFill="1" applyBorder="1" applyAlignment="1" applyProtection="1">
      <alignment horizontal="center" vertical="center" wrapText="1"/>
      <protection locked="0"/>
    </xf>
    <xf numFmtId="0" fontId="28" fillId="0" borderId="117" xfId="4" applyFont="1" applyFill="1" applyBorder="1" applyAlignment="1" applyProtection="1">
      <alignment horizontal="center" vertical="center" wrapText="1"/>
      <protection locked="0"/>
    </xf>
    <xf numFmtId="0" fontId="28" fillId="0" borderId="79" xfId="4" applyFont="1" applyFill="1" applyBorder="1" applyAlignment="1" applyProtection="1">
      <alignment horizontal="center" vertical="center" wrapText="1"/>
      <protection locked="0"/>
    </xf>
    <xf numFmtId="0" fontId="28" fillId="0" borderId="123" xfId="4" applyFont="1" applyFill="1" applyBorder="1" applyAlignment="1" applyProtection="1">
      <alignment horizontal="center" vertical="center" wrapText="1"/>
      <protection locked="0"/>
    </xf>
    <xf numFmtId="0" fontId="28" fillId="0" borderId="52" xfId="4" applyFont="1" applyFill="1" applyBorder="1" applyAlignment="1" applyProtection="1">
      <alignment horizontal="center" vertical="center" wrapText="1"/>
      <protection locked="0"/>
    </xf>
    <xf numFmtId="0" fontId="28" fillId="0" borderId="121" xfId="4" applyFont="1" applyFill="1" applyBorder="1" applyAlignment="1" applyProtection="1">
      <alignment horizontal="center" vertical="center" wrapText="1"/>
      <protection locked="0"/>
    </xf>
    <xf numFmtId="0" fontId="28" fillId="0" borderId="122" xfId="4" applyFont="1" applyFill="1" applyBorder="1" applyAlignment="1" applyProtection="1">
      <alignment horizontal="center" vertical="center" wrapText="1"/>
      <protection locked="0"/>
    </xf>
    <xf numFmtId="0" fontId="28" fillId="0" borderId="72" xfId="4" applyFont="1" applyFill="1" applyBorder="1" applyAlignment="1" applyProtection="1">
      <alignment horizontal="center" vertical="center" wrapText="1"/>
      <protection locked="0"/>
    </xf>
    <xf numFmtId="0" fontId="28" fillId="0" borderId="35" xfId="4" applyFont="1" applyFill="1" applyBorder="1" applyAlignment="1" applyProtection="1">
      <alignment horizontal="center" vertical="center" wrapText="1"/>
      <protection locked="0"/>
    </xf>
    <xf numFmtId="0" fontId="28" fillId="0" borderId="70" xfId="4" applyFont="1" applyFill="1" applyBorder="1" applyAlignment="1" applyProtection="1">
      <alignment horizontal="center" vertical="center" wrapText="1"/>
      <protection locked="0"/>
    </xf>
    <xf numFmtId="0" fontId="28" fillId="0" borderId="120" xfId="4" applyFont="1" applyFill="1" applyBorder="1" applyAlignment="1" applyProtection="1">
      <alignment horizontal="center" vertical="center" wrapText="1"/>
      <protection locked="0"/>
    </xf>
    <xf numFmtId="0" fontId="28" fillId="0" borderId="36" xfId="4" applyFont="1" applyFill="1" applyBorder="1" applyAlignment="1" applyProtection="1">
      <alignment horizontal="center" vertical="center" wrapText="1"/>
      <protection locked="0"/>
    </xf>
    <xf numFmtId="0" fontId="28" fillId="0" borderId="119" xfId="4" applyFont="1" applyFill="1" applyBorder="1" applyAlignment="1" applyProtection="1">
      <alignment horizontal="center" vertical="center" wrapText="1"/>
      <protection locked="0"/>
    </xf>
    <xf numFmtId="0" fontId="36" fillId="15" borderId="4" xfId="4" applyFont="1" applyFill="1" applyBorder="1" applyAlignment="1" applyProtection="1">
      <alignment horizontal="center" vertical="center" wrapText="1"/>
    </xf>
    <xf numFmtId="0" fontId="36" fillId="15" borderId="6" xfId="4" applyFont="1" applyFill="1" applyBorder="1" applyAlignment="1" applyProtection="1">
      <alignment horizontal="center" vertical="center" wrapText="1"/>
    </xf>
    <xf numFmtId="0" fontId="36" fillId="15" borderId="19" xfId="4" applyFont="1" applyFill="1" applyBorder="1" applyAlignment="1" applyProtection="1">
      <alignment horizontal="center" vertical="center" wrapText="1"/>
    </xf>
    <xf numFmtId="0" fontId="28" fillId="0" borderId="72" xfId="0" applyFont="1" applyBorder="1" applyAlignment="1" applyProtection="1">
      <alignment horizontal="center" vertical="center" shrinkToFit="1"/>
      <protection locked="0"/>
    </xf>
    <xf numFmtId="0" fontId="28" fillId="0" borderId="53" xfId="0" applyFont="1" applyBorder="1" applyAlignment="1" applyProtection="1">
      <alignment horizontal="center" vertical="center" shrinkToFit="1"/>
      <protection locked="0"/>
    </xf>
    <xf numFmtId="0" fontId="28" fillId="0" borderId="79" xfId="0" applyFont="1" applyBorder="1" applyAlignment="1" applyProtection="1">
      <alignment horizontal="center" vertical="center" shrinkToFit="1"/>
      <protection locked="0"/>
    </xf>
    <xf numFmtId="0" fontId="28" fillId="0" borderId="60" xfId="0" applyFont="1" applyBorder="1" applyAlignment="1" applyProtection="1">
      <alignment horizontal="center" vertical="center" shrinkToFit="1"/>
      <protection locked="0"/>
    </xf>
    <xf numFmtId="0" fontId="28" fillId="0" borderId="49" xfId="0" applyFont="1" applyBorder="1" applyAlignment="1" applyProtection="1">
      <alignment horizontal="center" vertical="center" shrinkToFit="1"/>
      <protection locked="0"/>
    </xf>
    <xf numFmtId="0" fontId="28" fillId="0" borderId="50" xfId="4" applyFont="1" applyFill="1" applyBorder="1" applyAlignment="1" applyProtection="1">
      <alignment horizontal="center" vertical="center" wrapText="1"/>
      <protection locked="0"/>
    </xf>
    <xf numFmtId="0" fontId="28" fillId="0" borderId="54" xfId="4" applyFont="1" applyFill="1" applyBorder="1" applyAlignment="1" applyProtection="1">
      <alignment horizontal="center" vertical="center" wrapText="1"/>
      <protection locked="0"/>
    </xf>
    <xf numFmtId="0" fontId="28" fillId="0" borderId="50" xfId="0" applyFont="1" applyBorder="1" applyAlignment="1" applyProtection="1">
      <alignment horizontal="center" vertical="center" shrinkToFit="1"/>
      <protection locked="0"/>
    </xf>
    <xf numFmtId="0" fontId="28" fillId="0" borderId="54" xfId="0" applyFont="1" applyBorder="1" applyAlignment="1" applyProtection="1">
      <alignment horizontal="center" vertical="center" shrinkToFit="1"/>
      <protection locked="0"/>
    </xf>
    <xf numFmtId="0" fontId="28" fillId="0" borderId="50" xfId="2" applyFont="1" applyBorder="1" applyAlignment="1" applyProtection="1">
      <alignment horizontal="center" vertical="center" wrapText="1"/>
      <protection locked="0"/>
    </xf>
    <xf numFmtId="0" fontId="28" fillId="0" borderId="54" xfId="2" applyFont="1" applyBorder="1" applyAlignment="1" applyProtection="1">
      <alignment horizontal="center" vertical="center" wrapText="1"/>
      <protection locked="0"/>
    </xf>
    <xf numFmtId="0" fontId="28" fillId="0" borderId="56" xfId="0" applyFont="1" applyBorder="1" applyAlignment="1" applyProtection="1">
      <alignment horizontal="center" vertical="center" shrinkToFit="1"/>
      <protection locked="0"/>
    </xf>
    <xf numFmtId="0" fontId="21" fillId="15" borderId="4" xfId="4" applyFont="1" applyFill="1" applyBorder="1" applyAlignment="1" applyProtection="1">
      <alignment horizontal="center" vertical="center" wrapText="1"/>
    </xf>
    <xf numFmtId="0" fontId="21" fillId="15" borderId="25" xfId="4" applyFont="1" applyFill="1" applyBorder="1" applyAlignment="1" applyProtection="1">
      <alignment horizontal="center" vertical="center" wrapText="1"/>
    </xf>
    <xf numFmtId="0" fontId="21" fillId="15" borderId="6" xfId="4" applyFont="1" applyFill="1" applyBorder="1" applyAlignment="1" applyProtection="1">
      <alignment horizontal="center" vertical="center" wrapText="1"/>
    </xf>
    <xf numFmtId="0" fontId="21" fillId="15" borderId="21" xfId="4" applyFont="1" applyFill="1" applyBorder="1" applyAlignment="1" applyProtection="1">
      <alignment horizontal="center" vertical="center" wrapText="1"/>
    </xf>
    <xf numFmtId="0" fontId="28" fillId="0" borderId="49" xfId="4" applyFont="1" applyFill="1" applyBorder="1" applyAlignment="1" applyProtection="1">
      <alignment horizontal="center" vertical="center" wrapText="1"/>
      <protection locked="0"/>
    </xf>
    <xf numFmtId="0" fontId="28" fillId="0" borderId="60" xfId="4" applyFont="1" applyFill="1" applyBorder="1" applyAlignment="1" applyProtection="1">
      <alignment horizontal="center" vertical="center" wrapText="1"/>
      <protection locked="0"/>
    </xf>
    <xf numFmtId="0" fontId="28" fillId="0" borderId="56" xfId="4" applyFont="1" applyFill="1" applyBorder="1" applyAlignment="1" applyProtection="1">
      <alignment horizontal="center" vertical="center" wrapText="1"/>
      <protection locked="0"/>
    </xf>
    <xf numFmtId="0" fontId="28" fillId="0" borderId="53" xfId="4" applyFont="1" applyFill="1" applyBorder="1" applyAlignment="1" applyProtection="1">
      <alignment horizontal="center" vertical="center" wrapText="1"/>
      <protection locked="0"/>
    </xf>
    <xf numFmtId="0" fontId="28" fillId="0" borderId="19" xfId="4" applyFont="1" applyFill="1" applyBorder="1" applyAlignment="1" applyProtection="1">
      <alignment horizontal="center" vertical="center" wrapText="1"/>
      <protection locked="0"/>
    </xf>
    <xf numFmtId="0" fontId="28" fillId="0" borderId="22" xfId="4" applyFont="1" applyFill="1" applyBorder="1" applyAlignment="1" applyProtection="1">
      <alignment horizontal="center" vertical="center" wrapText="1"/>
      <protection locked="0"/>
    </xf>
    <xf numFmtId="0" fontId="28" fillId="0" borderId="4" xfId="4" applyFont="1" applyFill="1" applyBorder="1" applyAlignment="1" applyProtection="1">
      <alignment horizontal="center" vertical="center" wrapText="1"/>
      <protection locked="0"/>
    </xf>
    <xf numFmtId="0" fontId="28" fillId="0" borderId="68" xfId="4" applyFont="1" applyFill="1" applyBorder="1" applyAlignment="1" applyProtection="1">
      <alignment horizontal="center" vertical="center" wrapText="1"/>
      <protection locked="0"/>
    </xf>
    <xf numFmtId="0" fontId="28" fillId="0" borderId="124" xfId="4" applyFont="1" applyFill="1" applyBorder="1" applyAlignment="1" applyProtection="1">
      <alignment horizontal="center" vertical="center" wrapText="1"/>
      <protection locked="0"/>
    </xf>
    <xf numFmtId="0" fontId="28" fillId="0" borderId="125" xfId="4" applyFont="1" applyFill="1" applyBorder="1" applyAlignment="1" applyProtection="1">
      <alignment horizontal="center" vertical="center" wrapText="1"/>
      <protection locked="0"/>
    </xf>
    <xf numFmtId="0" fontId="28" fillId="0" borderId="25" xfId="4" applyFont="1" applyFill="1" applyBorder="1" applyAlignment="1" applyProtection="1">
      <alignment horizontal="center" vertical="center" wrapText="1"/>
      <protection locked="0"/>
    </xf>
    <xf numFmtId="0" fontId="28" fillId="15" borderId="75" xfId="4" applyFont="1" applyFill="1" applyBorder="1" applyAlignment="1" applyProtection="1">
      <alignment horizontal="center" vertical="center" wrapText="1"/>
    </xf>
    <xf numFmtId="0" fontId="28" fillId="15" borderId="62" xfId="4" applyFont="1" applyFill="1" applyBorder="1" applyAlignment="1" applyProtection="1">
      <alignment horizontal="center" vertical="center" wrapText="1"/>
    </xf>
    <xf numFmtId="0" fontId="13" fillId="15" borderId="175" xfId="5" applyFont="1" applyFill="1" applyBorder="1" applyAlignment="1" applyProtection="1">
      <alignment horizontal="center" vertical="center" wrapText="1"/>
    </xf>
    <xf numFmtId="0" fontId="13" fillId="15" borderId="73" xfId="5" applyFont="1" applyFill="1" applyBorder="1" applyAlignment="1" applyProtection="1">
      <alignment horizontal="center" vertical="center" wrapText="1"/>
    </xf>
    <xf numFmtId="0" fontId="58" fillId="9" borderId="109" xfId="7" applyFont="1" applyFill="1" applyBorder="1" applyAlignment="1">
      <alignment horizontal="center" vertical="center" wrapText="1"/>
    </xf>
    <xf numFmtId="0" fontId="58" fillId="9" borderId="10" xfId="7" applyFont="1" applyFill="1" applyBorder="1" applyAlignment="1">
      <alignment horizontal="center" vertical="center" wrapText="1"/>
    </xf>
    <xf numFmtId="0" fontId="58" fillId="9" borderId="110" xfId="7" applyFont="1" applyFill="1" applyBorder="1" applyAlignment="1">
      <alignment horizontal="center" vertical="center" wrapText="1"/>
    </xf>
    <xf numFmtId="0" fontId="58" fillId="9" borderId="5" xfId="7" applyFont="1" applyFill="1" applyBorder="1" applyAlignment="1">
      <alignment horizontal="center" vertical="center" wrapText="1"/>
    </xf>
    <xf numFmtId="0" fontId="58" fillId="9" borderId="13" xfId="7" applyFont="1" applyFill="1" applyBorder="1" applyAlignment="1">
      <alignment horizontal="center" vertical="center" wrapText="1"/>
    </xf>
    <xf numFmtId="0" fontId="58" fillId="9" borderId="9" xfId="7" applyFont="1" applyFill="1" applyBorder="1" applyAlignment="1">
      <alignment horizontal="center" vertical="center" wrapText="1"/>
    </xf>
    <xf numFmtId="176" fontId="58" fillId="9" borderId="97" xfId="7" applyNumberFormat="1" applyFont="1" applyFill="1" applyBorder="1" applyAlignment="1">
      <alignment horizontal="center" vertical="center" wrapText="1"/>
    </xf>
    <xf numFmtId="0" fontId="58" fillId="9" borderId="15" xfId="7" applyFont="1" applyFill="1" applyBorder="1" applyAlignment="1">
      <alignment horizontal="center" vertical="center" wrapText="1"/>
    </xf>
    <xf numFmtId="0" fontId="58" fillId="9" borderId="98" xfId="7" applyFont="1" applyFill="1" applyBorder="1" applyAlignment="1">
      <alignment horizontal="center" vertical="center" wrapText="1"/>
    </xf>
    <xf numFmtId="0" fontId="57" fillId="16" borderId="98" xfId="7" applyFont="1" applyFill="1" applyBorder="1" applyAlignment="1">
      <alignment horizontal="center" vertical="center" shrinkToFit="1"/>
    </xf>
    <xf numFmtId="0" fontId="17" fillId="11" borderId="15" xfId="7" applyFont="1" applyFill="1" applyBorder="1" applyAlignment="1">
      <alignment horizontal="center" vertical="center"/>
    </xf>
    <xf numFmtId="0" fontId="26" fillId="11" borderId="30" xfId="7" applyFont="1" applyFill="1" applyBorder="1" applyAlignment="1">
      <alignment horizontal="center" vertical="center" wrapText="1"/>
    </xf>
    <xf numFmtId="0" fontId="26" fillId="11" borderId="11" xfId="7" applyFont="1" applyFill="1" applyBorder="1" applyAlignment="1">
      <alignment horizontal="center" vertical="center"/>
    </xf>
    <xf numFmtId="0" fontId="26" fillId="11" borderId="31" xfId="7" applyFont="1" applyFill="1" applyBorder="1" applyAlignment="1">
      <alignment horizontal="center" vertical="center"/>
    </xf>
    <xf numFmtId="0" fontId="17" fillId="11" borderId="97" xfId="7" applyFont="1" applyFill="1" applyBorder="1" applyAlignment="1">
      <alignment horizontal="center" vertical="center" shrinkToFit="1"/>
    </xf>
    <xf numFmtId="0" fontId="17" fillId="11" borderId="15" xfId="7" applyFont="1" applyFill="1" applyBorder="1" applyAlignment="1">
      <alignment horizontal="center" vertical="center" shrinkToFit="1"/>
    </xf>
    <xf numFmtId="0" fontId="17" fillId="11" borderId="98" xfId="7" applyFont="1" applyFill="1" applyBorder="1" applyAlignment="1">
      <alignment horizontal="center" vertical="center" shrinkToFit="1"/>
    </xf>
    <xf numFmtId="0" fontId="17" fillId="11" borderId="97" xfId="7" applyFont="1" applyFill="1" applyBorder="1" applyAlignment="1">
      <alignment horizontal="center" vertical="center"/>
    </xf>
    <xf numFmtId="0" fontId="26" fillId="11" borderId="97" xfId="7" applyFont="1" applyFill="1" applyBorder="1" applyAlignment="1">
      <alignment horizontal="center" vertical="center" wrapText="1"/>
    </xf>
    <xf numFmtId="0" fontId="26" fillId="11" borderId="15" xfId="7" applyFont="1" applyFill="1" applyBorder="1" applyAlignment="1">
      <alignment horizontal="center" vertical="center"/>
    </xf>
    <xf numFmtId="0" fontId="26" fillId="11" borderId="98" xfId="7" applyFont="1" applyFill="1" applyBorder="1" applyAlignment="1">
      <alignment horizontal="center" vertical="center"/>
    </xf>
    <xf numFmtId="0" fontId="17" fillId="11" borderId="5" xfId="7" applyFont="1" applyFill="1" applyBorder="1" applyAlignment="1">
      <alignment horizontal="center" vertical="center" wrapText="1"/>
    </xf>
    <xf numFmtId="0" fontId="17" fillId="11" borderId="13" xfId="7" applyFont="1" applyFill="1" applyBorder="1" applyAlignment="1">
      <alignment horizontal="center" vertical="center" wrapText="1"/>
    </xf>
    <xf numFmtId="0" fontId="17" fillId="11" borderId="9" xfId="7" applyFont="1" applyFill="1" applyBorder="1" applyAlignment="1">
      <alignment horizontal="center" vertical="center" wrapText="1"/>
    </xf>
    <xf numFmtId="0" fontId="17" fillId="11" borderId="97" xfId="7" applyFont="1" applyFill="1" applyBorder="1" applyAlignment="1">
      <alignment horizontal="center" vertical="center" wrapText="1"/>
    </xf>
    <xf numFmtId="0" fontId="17" fillId="11" borderId="15" xfId="7" applyFont="1" applyFill="1" applyBorder="1" applyAlignment="1">
      <alignment horizontal="center" vertical="center" wrapText="1"/>
    </xf>
    <xf numFmtId="0" fontId="17" fillId="11" borderId="98" xfId="7" applyFont="1" applyFill="1" applyBorder="1" applyAlignment="1">
      <alignment horizontal="center" vertical="center" wrapText="1"/>
    </xf>
    <xf numFmtId="0" fontId="53" fillId="0" borderId="159" xfId="16" applyFont="1" applyBorder="1" applyAlignment="1">
      <alignment horizontal="center" vertical="center"/>
    </xf>
    <xf numFmtId="0" fontId="38" fillId="0" borderId="156" xfId="16" applyFont="1" applyBorder="1"/>
    <xf numFmtId="0" fontId="35" fillId="0" borderId="0" xfId="16" applyFont="1" applyAlignment="1">
      <alignment vertical="center" wrapText="1"/>
    </xf>
    <xf numFmtId="0" fontId="16" fillId="0" borderId="0" xfId="16" applyFont="1"/>
    <xf numFmtId="0" fontId="35" fillId="19" borderId="167" xfId="16" applyFont="1" applyFill="1" applyBorder="1" applyAlignment="1">
      <alignment horizontal="center" vertical="center" wrapText="1"/>
    </xf>
    <xf numFmtId="0" fontId="38" fillId="0" borderId="129" xfId="16" applyFont="1" applyBorder="1"/>
    <xf numFmtId="0" fontId="38" fillId="0" borderId="134" xfId="16" applyFont="1" applyBorder="1"/>
    <xf numFmtId="0" fontId="35" fillId="19" borderId="6" xfId="16" applyFont="1" applyFill="1" applyBorder="1" applyAlignment="1">
      <alignment horizontal="center" vertical="center" wrapText="1"/>
    </xf>
    <xf numFmtId="0" fontId="16" fillId="0" borderId="6" xfId="16" applyFont="1" applyBorder="1"/>
    <xf numFmtId="0" fontId="51" fillId="20" borderId="137" xfId="16" applyFont="1" applyFill="1" applyBorder="1" applyAlignment="1">
      <alignment horizontal="center" vertical="center"/>
    </xf>
    <xf numFmtId="0" fontId="38" fillId="0" borderId="139" xfId="16" applyFont="1" applyBorder="1"/>
    <xf numFmtId="0" fontId="51" fillId="20" borderId="133" xfId="16" applyFont="1" applyFill="1" applyBorder="1" applyAlignment="1">
      <alignment horizontal="center" vertical="center"/>
    </xf>
    <xf numFmtId="0" fontId="38" fillId="0" borderId="132" xfId="16" applyFont="1" applyBorder="1"/>
    <xf numFmtId="0" fontId="38" fillId="0" borderId="131" xfId="16" applyFont="1" applyBorder="1"/>
    <xf numFmtId="0" fontId="52" fillId="0" borderId="137" xfId="16" applyFont="1" applyBorder="1" applyAlignment="1">
      <alignment horizontal="center" vertical="center"/>
    </xf>
    <xf numFmtId="0" fontId="54" fillId="0" borderId="139" xfId="16" applyFont="1" applyBorder="1"/>
    <xf numFmtId="0" fontId="45" fillId="20" borderId="131" xfId="16" applyFont="1" applyFill="1" applyBorder="1" applyAlignment="1">
      <alignment horizontal="center" vertical="center" wrapText="1"/>
    </xf>
    <xf numFmtId="0" fontId="45" fillId="0" borderId="133" xfId="16" applyFont="1" applyBorder="1" applyAlignment="1">
      <alignment horizontal="center" vertical="center" wrapText="1"/>
    </xf>
    <xf numFmtId="0" fontId="35" fillId="19" borderId="127" xfId="16" applyFont="1" applyFill="1" applyBorder="1" applyAlignment="1">
      <alignment horizontal="center" vertical="center" wrapText="1"/>
    </xf>
    <xf numFmtId="0" fontId="51" fillId="20" borderId="131" xfId="16" applyFont="1" applyFill="1" applyBorder="1" applyAlignment="1">
      <alignment horizontal="center" vertical="center" wrapText="1"/>
    </xf>
    <xf numFmtId="0" fontId="47" fillId="21" borderId="131" xfId="16" applyFont="1" applyFill="1" applyBorder="1" applyAlignment="1">
      <alignment horizontal="center" vertical="center" wrapText="1"/>
    </xf>
    <xf numFmtId="0" fontId="49" fillId="21" borderId="133" xfId="16" applyFont="1" applyFill="1" applyBorder="1" applyAlignment="1">
      <alignment horizontal="center" vertical="center" wrapText="1"/>
    </xf>
    <xf numFmtId="0" fontId="51" fillId="20" borderId="131" xfId="16" applyFont="1" applyFill="1" applyBorder="1" applyAlignment="1">
      <alignment horizontal="center" vertical="center"/>
    </xf>
    <xf numFmtId="0" fontId="51" fillId="0" borderId="133" xfId="16" applyFont="1" applyBorder="1" applyAlignment="1">
      <alignment horizontal="center" vertical="center"/>
    </xf>
    <xf numFmtId="0" fontId="45" fillId="20" borderId="131" xfId="16" applyFont="1" applyFill="1" applyBorder="1" applyAlignment="1">
      <alignment horizontal="center" vertical="center"/>
    </xf>
    <xf numFmtId="0" fontId="45" fillId="0" borderId="111" xfId="16" applyFont="1" applyBorder="1" applyAlignment="1">
      <alignment horizontal="center" vertical="center"/>
    </xf>
    <xf numFmtId="0" fontId="38" fillId="0" borderId="130" xfId="16" applyFont="1" applyBorder="1"/>
    <xf numFmtId="0" fontId="38" fillId="0" borderId="140" xfId="16" applyFont="1" applyBorder="1"/>
    <xf numFmtId="0" fontId="45" fillId="0" borderId="133" xfId="16" applyFont="1" applyBorder="1" applyAlignment="1">
      <alignment horizontal="center" vertical="center"/>
    </xf>
    <xf numFmtId="0" fontId="47" fillId="0" borderId="145" xfId="16" applyFont="1" applyBorder="1" applyAlignment="1">
      <alignment horizontal="center" vertical="center" wrapText="1"/>
    </xf>
    <xf numFmtId="0" fontId="38" fillId="0" borderId="151" xfId="16" applyFont="1" applyBorder="1"/>
    <xf numFmtId="0" fontId="47" fillId="0" borderId="148" xfId="16" applyFont="1" applyBorder="1" applyAlignment="1">
      <alignment horizontal="center" vertical="center" wrapText="1"/>
    </xf>
    <xf numFmtId="0" fontId="38" fillId="0" borderId="150" xfId="16" applyFont="1" applyBorder="1"/>
    <xf numFmtId="0" fontId="38" fillId="0" borderId="138" xfId="16" applyFont="1" applyBorder="1"/>
    <xf numFmtId="0" fontId="47" fillId="0" borderId="159" xfId="16" applyFont="1" applyBorder="1" applyAlignment="1">
      <alignment horizontal="center" vertical="center" wrapText="1"/>
    </xf>
    <xf numFmtId="0" fontId="47" fillId="0" borderId="161" xfId="16" applyFont="1" applyBorder="1" applyAlignment="1">
      <alignment horizontal="center" vertical="center" wrapText="1"/>
    </xf>
    <xf numFmtId="0" fontId="38" fillId="0" borderId="162" xfId="16" applyFont="1" applyBorder="1"/>
    <xf numFmtId="0" fontId="47" fillId="0" borderId="111" xfId="16" applyFont="1" applyBorder="1" applyAlignment="1">
      <alignment horizontal="center" vertical="center" wrapText="1"/>
    </xf>
    <xf numFmtId="0" fontId="47" fillId="0" borderId="163" xfId="16" applyFont="1" applyBorder="1" applyAlignment="1">
      <alignment horizontal="center" vertical="center" wrapText="1"/>
    </xf>
    <xf numFmtId="0" fontId="38" fillId="0" borderId="164" xfId="16" applyFont="1" applyBorder="1"/>
    <xf numFmtId="0" fontId="47" fillId="0" borderId="133" xfId="16" applyFont="1" applyBorder="1" applyAlignment="1">
      <alignment horizontal="center" vertical="center" wrapText="1"/>
    </xf>
    <xf numFmtId="0" fontId="46" fillId="21" borderId="143" xfId="16" applyFont="1" applyFill="1" applyBorder="1" applyAlignment="1">
      <alignment horizontal="center" vertical="center" wrapText="1"/>
    </xf>
    <xf numFmtId="0" fontId="38" fillId="0" borderId="144" xfId="16" applyFont="1" applyBorder="1"/>
    <xf numFmtId="0" fontId="47" fillId="0" borderId="146" xfId="16" applyFont="1" applyBorder="1" applyAlignment="1">
      <alignment horizontal="center" vertical="center" wrapText="1"/>
    </xf>
    <xf numFmtId="0" fontId="38" fillId="0" borderId="152" xfId="16" applyFont="1" applyBorder="1"/>
    <xf numFmtId="0" fontId="38" fillId="0" borderId="155" xfId="16" applyFont="1" applyBorder="1"/>
    <xf numFmtId="0" fontId="47" fillId="0" borderId="131" xfId="16" applyFont="1" applyBorder="1" applyAlignment="1">
      <alignment horizontal="center" vertical="center" wrapText="1"/>
    </xf>
    <xf numFmtId="0" fontId="49" fillId="0" borderId="133" xfId="16" applyFont="1" applyBorder="1" applyAlignment="1">
      <alignment horizontal="center" vertical="center" wrapText="1"/>
    </xf>
    <xf numFmtId="0" fontId="47" fillId="21" borderId="133" xfId="16" applyFont="1" applyFill="1" applyBorder="1" applyAlignment="1">
      <alignment horizontal="center" vertical="center" wrapText="1"/>
    </xf>
    <xf numFmtId="0" fontId="45" fillId="20" borderId="136" xfId="16" applyFont="1" applyFill="1" applyBorder="1" applyAlignment="1">
      <alignment horizontal="center" vertical="center"/>
    </xf>
    <xf numFmtId="0" fontId="38" fillId="0" borderId="137" xfId="16" applyFont="1" applyBorder="1"/>
    <xf numFmtId="0" fontId="45" fillId="0" borderId="111" xfId="16" applyFont="1" applyBorder="1" applyAlignment="1">
      <alignment horizontal="center" vertical="center" wrapText="1"/>
    </xf>
    <xf numFmtId="0" fontId="38" fillId="0" borderId="136" xfId="16" applyFont="1" applyBorder="1"/>
    <xf numFmtId="0" fontId="41" fillId="0" borderId="0" xfId="16" applyFont="1" applyAlignment="1">
      <alignment horizontal="center" vertical="center"/>
    </xf>
    <xf numFmtId="0" fontId="43" fillId="0" borderId="0" xfId="16" applyFont="1"/>
    <xf numFmtId="0" fontId="44" fillId="0" borderId="128" xfId="16" applyFont="1" applyBorder="1" applyAlignment="1">
      <alignment horizontal="center" vertical="center"/>
    </xf>
    <xf numFmtId="0" fontId="38" fillId="0" borderId="28" xfId="16" applyFont="1" applyBorder="1"/>
    <xf numFmtId="0" fontId="38" fillId="0" borderId="25" xfId="16" applyFont="1" applyBorder="1"/>
    <xf numFmtId="0" fontId="44" fillId="8" borderId="4" xfId="16" applyFont="1" applyFill="1" applyBorder="1" applyAlignment="1">
      <alignment horizontal="center" vertical="center"/>
    </xf>
    <xf numFmtId="0" fontId="38" fillId="8" borderId="28" xfId="16" applyFont="1" applyFill="1" applyBorder="1"/>
    <xf numFmtId="0" fontId="38" fillId="8" borderId="25" xfId="16" applyFont="1" applyFill="1" applyBorder="1"/>
    <xf numFmtId="0" fontId="0" fillId="0" borderId="9" xfId="0" applyBorder="1" applyAlignment="1" applyProtection="1">
      <alignment horizontal="center" vertical="center"/>
      <protection locked="0"/>
    </xf>
    <xf numFmtId="0" fontId="0" fillId="0" borderId="98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56" fillId="15" borderId="186" xfId="4" applyFont="1" applyFill="1" applyBorder="1" applyAlignment="1" applyProtection="1">
      <alignment horizontal="center" vertical="center" wrapText="1"/>
    </xf>
    <xf numFmtId="0" fontId="56" fillId="0" borderId="95" xfId="4" applyFont="1" applyFill="1" applyBorder="1" applyAlignment="1" applyProtection="1">
      <alignment horizontal="center" vertical="center" wrapText="1"/>
    </xf>
    <xf numFmtId="0" fontId="56" fillId="15" borderId="78" xfId="4" applyFont="1" applyFill="1" applyBorder="1" applyAlignment="1" applyProtection="1">
      <alignment horizontal="center" vertical="center" wrapText="1"/>
    </xf>
    <xf numFmtId="176" fontId="13" fillId="15" borderId="56" xfId="0" applyNumberFormat="1" applyFont="1" applyFill="1" applyBorder="1" applyAlignment="1">
      <alignment horizontal="center" vertical="center" wrapText="1"/>
    </xf>
    <xf numFmtId="176" fontId="13" fillId="15" borderId="53" xfId="0" applyNumberFormat="1" applyFont="1" applyFill="1" applyBorder="1" applyAlignment="1">
      <alignment horizontal="center" vertical="center" wrapText="1"/>
    </xf>
    <xf numFmtId="176" fontId="13" fillId="15" borderId="104" xfId="0" applyNumberFormat="1" applyFont="1" applyFill="1" applyBorder="1" applyAlignment="1">
      <alignment horizontal="center" vertical="center" wrapText="1"/>
    </xf>
    <xf numFmtId="176" fontId="13" fillId="15" borderId="105" xfId="0" applyNumberFormat="1" applyFont="1" applyFill="1" applyBorder="1" applyAlignment="1">
      <alignment horizontal="center" vertical="center" wrapText="1"/>
    </xf>
    <xf numFmtId="176" fontId="13" fillId="15" borderId="49" xfId="0" applyNumberFormat="1" applyFont="1" applyFill="1" applyBorder="1" applyAlignment="1">
      <alignment horizontal="center" vertical="center" wrapText="1"/>
    </xf>
    <xf numFmtId="176" fontId="13" fillId="15" borderId="60" xfId="0" applyNumberFormat="1" applyFont="1" applyFill="1" applyBorder="1" applyAlignment="1">
      <alignment horizontal="center" vertical="center" wrapText="1"/>
    </xf>
    <xf numFmtId="0" fontId="56" fillId="0" borderId="6" xfId="0" applyFont="1" applyBorder="1" applyAlignment="1" applyProtection="1">
      <alignment horizontal="center" vertical="center" wrapText="1"/>
      <protection locked="0"/>
    </xf>
    <xf numFmtId="0" fontId="56" fillId="0" borderId="21" xfId="0" applyFont="1" applyBorder="1" applyAlignment="1" applyProtection="1">
      <alignment horizontal="center" vertical="center" wrapText="1"/>
      <protection locked="0"/>
    </xf>
    <xf numFmtId="0" fontId="56" fillId="0" borderId="49" xfId="0" applyFont="1" applyBorder="1" applyAlignment="1" applyProtection="1">
      <alignment horizontal="center" vertical="center" wrapText="1"/>
      <protection locked="0"/>
    </xf>
    <xf numFmtId="0" fontId="56" fillId="0" borderId="60" xfId="0" applyFont="1" applyBorder="1" applyAlignment="1" applyProtection="1">
      <alignment horizontal="center" vertical="center" wrapText="1"/>
      <protection locked="0"/>
    </xf>
    <xf numFmtId="176" fontId="13" fillId="15" borderId="101" xfId="0" applyNumberFormat="1" applyFont="1" applyFill="1" applyBorder="1" applyAlignment="1">
      <alignment horizontal="center" vertical="center" wrapText="1"/>
    </xf>
    <xf numFmtId="0" fontId="56" fillId="0" borderId="187" xfId="4" applyFont="1" applyFill="1" applyBorder="1" applyAlignment="1" applyProtection="1">
      <alignment horizontal="center" vertical="center" wrapText="1"/>
      <protection locked="0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60" xfId="5" applyFont="1" applyFill="1" applyBorder="1" applyAlignment="1" applyProtection="1">
      <alignment horizontal="center" vertical="center" wrapText="1"/>
    </xf>
    <xf numFmtId="0" fontId="30" fillId="0" borderId="94" xfId="0" applyFont="1" applyBorder="1" applyAlignment="1">
      <alignment horizontal="center" vertical="center"/>
    </xf>
    <xf numFmtId="0" fontId="21" fillId="15" borderId="19" xfId="4" applyFont="1" applyFill="1" applyBorder="1" applyAlignment="1" applyProtection="1">
      <alignment horizontal="center" vertical="center" wrapText="1"/>
    </xf>
    <xf numFmtId="0" fontId="21" fillId="15" borderId="22" xfId="4" applyFont="1" applyFill="1" applyBorder="1" applyAlignment="1" applyProtection="1">
      <alignment horizontal="center" vertical="center" wrapText="1"/>
    </xf>
    <xf numFmtId="0" fontId="28" fillId="0" borderId="19" xfId="0" applyFont="1" applyBorder="1" applyAlignment="1" applyProtection="1">
      <alignment horizontal="center" vertical="center" wrapText="1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28" fillId="0" borderId="49" xfId="0" applyFont="1" applyBorder="1" applyAlignment="1" applyProtection="1">
      <alignment horizontal="center" vertical="center" wrapText="1"/>
      <protection locked="0"/>
    </xf>
    <xf numFmtId="176" fontId="13" fillId="15" borderId="19" xfId="0" applyNumberFormat="1" applyFont="1" applyFill="1" applyBorder="1" applyAlignment="1">
      <alignment horizontal="center" vertical="center" wrapText="1"/>
    </xf>
    <xf numFmtId="176" fontId="13" fillId="15" borderId="22" xfId="0" applyNumberFormat="1" applyFont="1" applyFill="1" applyBorder="1" applyAlignment="1">
      <alignment horizontal="center" vertical="center" wrapText="1"/>
    </xf>
    <xf numFmtId="0" fontId="28" fillId="0" borderId="55" xfId="4" applyFont="1" applyFill="1" applyBorder="1" applyAlignment="1" applyProtection="1">
      <alignment horizontal="center" vertical="center" wrapText="1"/>
    </xf>
    <xf numFmtId="0" fontId="28" fillId="0" borderId="61" xfId="4" applyFont="1" applyFill="1" applyBorder="1" applyAlignment="1" applyProtection="1">
      <alignment horizontal="center" vertical="center" wrapText="1"/>
      <protection locked="0"/>
    </xf>
    <xf numFmtId="0" fontId="28" fillId="0" borderId="90" xfId="4" applyFont="1" applyFill="1" applyBorder="1" applyAlignment="1" applyProtection="1">
      <alignment horizontal="center" vertical="center" wrapText="1"/>
      <protection locked="0"/>
    </xf>
    <xf numFmtId="0" fontId="28" fillId="0" borderId="81" xfId="4" applyFont="1" applyFill="1" applyBorder="1" applyAlignment="1" applyProtection="1">
      <alignment horizontal="center" vertical="center" wrapText="1"/>
      <protection locked="0"/>
    </xf>
    <xf numFmtId="0" fontId="28" fillId="0" borderId="42" xfId="4" applyFont="1" applyFill="1" applyBorder="1" applyAlignment="1" applyProtection="1">
      <alignment horizontal="center" vertical="center" wrapText="1"/>
    </xf>
    <xf numFmtId="0" fontId="28" fillId="15" borderId="43" xfId="4" applyFont="1" applyFill="1" applyBorder="1" applyAlignment="1" applyProtection="1">
      <alignment horizontal="center" vertical="center" wrapText="1"/>
    </xf>
    <xf numFmtId="0" fontId="28" fillId="0" borderId="50" xfId="0" applyFont="1" applyBorder="1" applyAlignment="1" applyProtection="1">
      <alignment horizontal="center" vertical="center"/>
      <protection locked="0"/>
    </xf>
    <xf numFmtId="0" fontId="28" fillId="0" borderId="54" xfId="0" applyFont="1" applyBorder="1" applyAlignment="1" applyProtection="1">
      <alignment horizontal="center" vertical="center"/>
      <protection locked="0"/>
    </xf>
    <xf numFmtId="176" fontId="58" fillId="9" borderId="11" xfId="7" applyNumberFormat="1" applyFont="1" applyFill="1" applyBorder="1" applyAlignment="1">
      <alignment horizontal="right" vertical="center" shrinkToFit="1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5B9FF3AA-4C5D-444B-B82C-4917F7F96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95"/>
  <sheetViews>
    <sheetView zoomScaleNormal="100" zoomScaleSheetLayoutView="100" workbookViewId="0">
      <pane ySplit="8" topLeftCell="A45" activePane="bottomLeft" state="frozen"/>
      <selection activeCell="F42" sqref="F42:G42"/>
      <selection pane="bottomLeft" activeCell="AB47" sqref="AB47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8" width="12.8984375" style="4" customWidth="1"/>
    <col min="29" max="29" width="16.3984375" style="4" bestFit="1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449" t="s">
        <v>669</v>
      </c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50"/>
      <c r="V2" s="451" t="s">
        <v>130</v>
      </c>
      <c r="W2" s="452"/>
      <c r="X2" s="447">
        <v>2027</v>
      </c>
      <c r="Y2" s="448"/>
      <c r="AA2" s="453" t="s">
        <v>143</v>
      </c>
      <c r="AB2" s="18" t="s">
        <v>144</v>
      </c>
      <c r="AC2" s="28" t="s">
        <v>150</v>
      </c>
      <c r="AD2" s="19" t="s">
        <v>145</v>
      </c>
    </row>
    <row r="3" spans="2:30" ht="18" thickBot="1">
      <c r="B3" s="436" t="s">
        <v>359</v>
      </c>
      <c r="C3" s="438" t="s">
        <v>53</v>
      </c>
      <c r="D3" s="439"/>
      <c r="E3" s="439"/>
      <c r="F3" s="438" t="s">
        <v>64</v>
      </c>
      <c r="G3" s="442"/>
      <c r="H3" s="438" t="s">
        <v>54</v>
      </c>
      <c r="I3" s="439"/>
      <c r="J3" s="439"/>
      <c r="K3" s="438" t="s">
        <v>55</v>
      </c>
      <c r="L3" s="439"/>
      <c r="M3" s="439"/>
      <c r="N3" s="439"/>
      <c r="O3" s="442"/>
      <c r="P3" s="444" t="s">
        <v>56</v>
      </c>
      <c r="Q3" s="445"/>
      <c r="R3" s="445"/>
      <c r="S3" s="445"/>
      <c r="T3" s="445"/>
      <c r="U3" s="445"/>
      <c r="V3" s="445"/>
      <c r="W3" s="445"/>
      <c r="X3" s="445"/>
      <c r="Y3" s="446"/>
      <c r="AA3" s="454"/>
      <c r="AB3" s="20" t="s">
        <v>146</v>
      </c>
      <c r="AC3" s="40" t="s">
        <v>667</v>
      </c>
      <c r="AD3" s="21">
        <v>102</v>
      </c>
    </row>
    <row r="4" spans="2:30" ht="18" thickBot="1">
      <c r="B4" s="437"/>
      <c r="C4" s="440"/>
      <c r="D4" s="441"/>
      <c r="E4" s="441"/>
      <c r="F4" s="440"/>
      <c r="G4" s="443"/>
      <c r="H4" s="440"/>
      <c r="I4" s="441"/>
      <c r="J4" s="441"/>
      <c r="K4" s="440"/>
      <c r="L4" s="441"/>
      <c r="M4" s="441"/>
      <c r="N4" s="441"/>
      <c r="O4" s="443"/>
      <c r="P4" s="444" t="s">
        <v>127</v>
      </c>
      <c r="Q4" s="445"/>
      <c r="R4" s="445"/>
      <c r="S4" s="445"/>
      <c r="T4" s="444" t="s">
        <v>61</v>
      </c>
      <c r="U4" s="445"/>
      <c r="V4" s="446"/>
      <c r="W4" s="445" t="s">
        <v>128</v>
      </c>
      <c r="X4" s="445"/>
      <c r="Y4" s="446"/>
      <c r="AA4" s="454"/>
      <c r="AB4" s="22" t="s">
        <v>147</v>
      </c>
      <c r="AC4" s="41" t="s">
        <v>512</v>
      </c>
      <c r="AD4" s="21">
        <v>113</v>
      </c>
    </row>
    <row r="5" spans="2:30" ht="26.25" customHeight="1" thickBot="1">
      <c r="B5" s="74" t="s">
        <v>513</v>
      </c>
      <c r="C5" s="402" t="s">
        <v>514</v>
      </c>
      <c r="D5" s="403"/>
      <c r="E5" s="404"/>
      <c r="F5" s="402" t="s">
        <v>525</v>
      </c>
      <c r="G5" s="405"/>
      <c r="H5" s="406" t="s">
        <v>516</v>
      </c>
      <c r="I5" s="403"/>
      <c r="J5" s="404"/>
      <c r="K5" s="402" t="s">
        <v>517</v>
      </c>
      <c r="L5" s="403"/>
      <c r="M5" s="403"/>
      <c r="N5" s="403"/>
      <c r="O5" s="405"/>
      <c r="P5" s="406" t="s">
        <v>518</v>
      </c>
      <c r="Q5" s="403"/>
      <c r="R5" s="403"/>
      <c r="S5" s="404"/>
      <c r="T5" s="402" t="s">
        <v>519</v>
      </c>
      <c r="U5" s="403"/>
      <c r="V5" s="404"/>
      <c r="W5" s="407" t="s">
        <v>520</v>
      </c>
      <c r="X5" s="408"/>
      <c r="Y5" s="409"/>
      <c r="AA5" s="455"/>
      <c r="AB5" s="23" t="s">
        <v>148</v>
      </c>
      <c r="AC5" s="42" t="s">
        <v>668</v>
      </c>
      <c r="AD5" s="143">
        <v>116141</v>
      </c>
    </row>
    <row r="6" spans="2:30" ht="15.75" customHeight="1" thickBot="1">
      <c r="U6" s="410"/>
      <c r="V6" s="410"/>
      <c r="W6" s="410"/>
      <c r="X6" s="410"/>
      <c r="Y6" s="410"/>
    </row>
    <row r="7" spans="2:30" s="9" customFormat="1" ht="22.5" customHeight="1">
      <c r="B7" s="411" t="s">
        <v>2</v>
      </c>
      <c r="C7" s="412"/>
      <c r="D7" s="415" t="s">
        <v>120</v>
      </c>
      <c r="E7" s="417" t="s">
        <v>57</v>
      </c>
      <c r="F7" s="418"/>
      <c r="G7" s="419"/>
      <c r="H7" s="420" t="s">
        <v>133</v>
      </c>
      <c r="I7" s="423" t="s">
        <v>134</v>
      </c>
      <c r="J7" s="427" t="s">
        <v>135</v>
      </c>
      <c r="K7" s="422" t="s">
        <v>58</v>
      </c>
      <c r="L7" s="423"/>
      <c r="M7" s="423"/>
      <c r="N7" s="424"/>
      <c r="O7" s="425" t="s">
        <v>59</v>
      </c>
      <c r="P7" s="423"/>
      <c r="Q7" s="423"/>
      <c r="R7" s="424"/>
      <c r="S7" s="422" t="s">
        <v>60</v>
      </c>
      <c r="T7" s="423"/>
      <c r="U7" s="423"/>
      <c r="V7" s="426"/>
      <c r="W7" s="420" t="s">
        <v>136</v>
      </c>
      <c r="X7" s="427"/>
      <c r="Y7" s="419" t="s">
        <v>137</v>
      </c>
      <c r="Z7" s="8"/>
    </row>
    <row r="8" spans="2:30" s="9" customFormat="1" ht="22.5" customHeight="1" thickBot="1">
      <c r="B8" s="413"/>
      <c r="C8" s="414"/>
      <c r="D8" s="416"/>
      <c r="E8" s="24" t="s">
        <v>18</v>
      </c>
      <c r="F8" s="430" t="s">
        <v>19</v>
      </c>
      <c r="G8" s="431"/>
      <c r="H8" s="421"/>
      <c r="I8" s="433"/>
      <c r="J8" s="428"/>
      <c r="K8" s="432" t="s">
        <v>0</v>
      </c>
      <c r="L8" s="433"/>
      <c r="M8" s="433" t="s">
        <v>62</v>
      </c>
      <c r="N8" s="434"/>
      <c r="O8" s="435" t="s">
        <v>0</v>
      </c>
      <c r="P8" s="433"/>
      <c r="Q8" s="433" t="s">
        <v>62</v>
      </c>
      <c r="R8" s="434"/>
      <c r="S8" s="432" t="s">
        <v>0</v>
      </c>
      <c r="T8" s="433"/>
      <c r="U8" s="433" t="s">
        <v>62</v>
      </c>
      <c r="V8" s="456"/>
      <c r="W8" s="421"/>
      <c r="X8" s="428"/>
      <c r="Y8" s="429"/>
      <c r="AA8" s="297" t="s">
        <v>499</v>
      </c>
      <c r="AB8" s="297"/>
      <c r="AC8" s="297"/>
      <c r="AD8" s="297"/>
    </row>
    <row r="9" spans="2:30" ht="16.5" customHeight="1" thickBot="1">
      <c r="B9" s="282" t="s">
        <v>336</v>
      </c>
      <c r="C9" s="283"/>
      <c r="D9" s="286" t="s">
        <v>21</v>
      </c>
      <c r="E9" s="43" t="s">
        <v>12</v>
      </c>
      <c r="F9" s="260" t="s">
        <v>200</v>
      </c>
      <c r="G9" s="290"/>
      <c r="H9" s="44">
        <v>4</v>
      </c>
      <c r="I9" s="45" t="s">
        <v>337</v>
      </c>
      <c r="J9" s="46">
        <v>3</v>
      </c>
      <c r="K9" s="260">
        <v>3</v>
      </c>
      <c r="L9" s="261"/>
      <c r="M9" s="262"/>
      <c r="N9" s="263"/>
      <c r="O9" s="289"/>
      <c r="P9" s="261"/>
      <c r="Q9" s="262"/>
      <c r="R9" s="263"/>
      <c r="S9" s="289"/>
      <c r="T9" s="261"/>
      <c r="U9" s="262"/>
      <c r="V9" s="290"/>
      <c r="W9" s="47">
        <f>SUM(K9:V9)</f>
        <v>3</v>
      </c>
      <c r="X9" s="399">
        <f>SUM(W9:W11)</f>
        <v>9</v>
      </c>
      <c r="Y9" s="394">
        <v>24</v>
      </c>
      <c r="AA9" s="134" t="s">
        <v>500</v>
      </c>
      <c r="AB9" s="135" t="s">
        <v>505</v>
      </c>
      <c r="AC9" s="135" t="s">
        <v>506</v>
      </c>
      <c r="AD9" s="136" t="s">
        <v>507</v>
      </c>
    </row>
    <row r="10" spans="2:30" ht="18" thickBot="1">
      <c r="B10" s="284"/>
      <c r="C10" s="285"/>
      <c r="D10" s="287"/>
      <c r="E10" s="48" t="s">
        <v>12</v>
      </c>
      <c r="F10" s="270" t="s">
        <v>201</v>
      </c>
      <c r="G10" s="266"/>
      <c r="H10" s="49">
        <v>4</v>
      </c>
      <c r="I10" s="50" t="s">
        <v>337</v>
      </c>
      <c r="J10" s="51">
        <v>3</v>
      </c>
      <c r="K10" s="270"/>
      <c r="L10" s="271"/>
      <c r="M10" s="265">
        <v>3</v>
      </c>
      <c r="N10" s="272"/>
      <c r="O10" s="273"/>
      <c r="P10" s="271"/>
      <c r="Q10" s="265"/>
      <c r="R10" s="272"/>
      <c r="S10" s="273"/>
      <c r="T10" s="271"/>
      <c r="U10" s="265"/>
      <c r="V10" s="266"/>
      <c r="W10" s="52">
        <f t="shared" ref="W10:W22" si="0">SUM(K10:V10)</f>
        <v>3</v>
      </c>
      <c r="X10" s="401"/>
      <c r="Y10" s="394"/>
      <c r="AA10" s="137" t="s">
        <v>501</v>
      </c>
      <c r="AB10" s="138">
        <v>4</v>
      </c>
      <c r="AC10" s="138">
        <v>-1</v>
      </c>
      <c r="AD10" s="21" t="s">
        <v>508</v>
      </c>
    </row>
    <row r="11" spans="2:30" ht="18" thickBot="1">
      <c r="B11" s="284"/>
      <c r="C11" s="285"/>
      <c r="D11" s="288"/>
      <c r="E11" s="53" t="s">
        <v>338</v>
      </c>
      <c r="F11" s="264" t="s">
        <v>206</v>
      </c>
      <c r="G11" s="395"/>
      <c r="H11" s="54">
        <v>4</v>
      </c>
      <c r="I11" s="55" t="s">
        <v>339</v>
      </c>
      <c r="J11" s="56">
        <v>3</v>
      </c>
      <c r="K11" s="264"/>
      <c r="L11" s="236"/>
      <c r="M11" s="251"/>
      <c r="N11" s="252"/>
      <c r="O11" s="235"/>
      <c r="P11" s="236"/>
      <c r="Q11" s="251">
        <v>3</v>
      </c>
      <c r="R11" s="252"/>
      <c r="S11" s="235"/>
      <c r="T11" s="236"/>
      <c r="U11" s="251"/>
      <c r="V11" s="395"/>
      <c r="W11" s="52">
        <f t="shared" si="0"/>
        <v>3</v>
      </c>
      <c r="X11" s="401"/>
      <c r="Y11" s="394"/>
      <c r="AA11" s="137" t="s">
        <v>502</v>
      </c>
      <c r="AB11" s="138">
        <v>3</v>
      </c>
      <c r="AC11" s="138"/>
      <c r="AD11" s="21">
        <v>3</v>
      </c>
    </row>
    <row r="12" spans="2:30" ht="18" thickBot="1">
      <c r="B12" s="284"/>
      <c r="C12" s="285"/>
      <c r="D12" s="286" t="s">
        <v>5</v>
      </c>
      <c r="E12" s="43" t="s">
        <v>12</v>
      </c>
      <c r="F12" s="260" t="s">
        <v>212</v>
      </c>
      <c r="G12" s="290"/>
      <c r="H12" s="44">
        <v>4</v>
      </c>
      <c r="I12" s="45" t="s">
        <v>337</v>
      </c>
      <c r="J12" s="46">
        <v>3</v>
      </c>
      <c r="K12" s="260">
        <v>3</v>
      </c>
      <c r="L12" s="261"/>
      <c r="M12" s="262"/>
      <c r="N12" s="263"/>
      <c r="O12" s="289"/>
      <c r="P12" s="261"/>
      <c r="Q12" s="262"/>
      <c r="R12" s="263"/>
      <c r="S12" s="289"/>
      <c r="T12" s="261"/>
      <c r="U12" s="262"/>
      <c r="V12" s="290"/>
      <c r="W12" s="47">
        <f t="shared" si="0"/>
        <v>3</v>
      </c>
      <c r="X12" s="399">
        <f>SUM(W12:W13)</f>
        <v>6</v>
      </c>
      <c r="Y12" s="394"/>
      <c r="AA12" s="137" t="s">
        <v>503</v>
      </c>
      <c r="AB12" s="138">
        <v>4</v>
      </c>
      <c r="AC12" s="138" t="s">
        <v>511</v>
      </c>
      <c r="AD12" s="21" t="s">
        <v>509</v>
      </c>
    </row>
    <row r="13" spans="2:30" ht="18" thickBot="1">
      <c r="B13" s="284"/>
      <c r="C13" s="285"/>
      <c r="D13" s="287"/>
      <c r="E13" s="48" t="s">
        <v>12</v>
      </c>
      <c r="F13" s="270" t="s">
        <v>214</v>
      </c>
      <c r="G13" s="266"/>
      <c r="H13" s="49">
        <v>4</v>
      </c>
      <c r="I13" s="50" t="s">
        <v>337</v>
      </c>
      <c r="J13" s="51">
        <v>3</v>
      </c>
      <c r="K13" s="270"/>
      <c r="L13" s="271"/>
      <c r="M13" s="265">
        <v>3</v>
      </c>
      <c r="N13" s="272"/>
      <c r="O13" s="273"/>
      <c r="P13" s="271"/>
      <c r="Q13" s="265"/>
      <c r="R13" s="272"/>
      <c r="S13" s="273"/>
      <c r="T13" s="271"/>
      <c r="U13" s="265"/>
      <c r="V13" s="266"/>
      <c r="W13" s="52">
        <f t="shared" si="0"/>
        <v>3</v>
      </c>
      <c r="X13" s="401"/>
      <c r="Y13" s="394"/>
      <c r="AA13" s="137" t="s">
        <v>504</v>
      </c>
      <c r="AB13" s="138">
        <v>3</v>
      </c>
      <c r="AC13" s="138" t="s">
        <v>511</v>
      </c>
      <c r="AD13" s="21" t="s">
        <v>510</v>
      </c>
    </row>
    <row r="14" spans="2:30" ht="18" thickBot="1">
      <c r="B14" s="284"/>
      <c r="C14" s="285"/>
      <c r="D14" s="286" t="s">
        <v>6</v>
      </c>
      <c r="E14" s="43" t="s">
        <v>12</v>
      </c>
      <c r="F14" s="260" t="s">
        <v>340</v>
      </c>
      <c r="G14" s="290"/>
      <c r="H14" s="44">
        <v>4</v>
      </c>
      <c r="I14" s="45" t="s">
        <v>337</v>
      </c>
      <c r="J14" s="46">
        <v>3</v>
      </c>
      <c r="K14" s="260">
        <v>3</v>
      </c>
      <c r="L14" s="261"/>
      <c r="M14" s="262"/>
      <c r="N14" s="263"/>
      <c r="O14" s="289"/>
      <c r="P14" s="261"/>
      <c r="Q14" s="262"/>
      <c r="R14" s="263"/>
      <c r="S14" s="289"/>
      <c r="T14" s="261"/>
      <c r="U14" s="262"/>
      <c r="V14" s="290"/>
      <c r="W14" s="47">
        <f t="shared" si="0"/>
        <v>3</v>
      </c>
      <c r="X14" s="399">
        <f t="shared" ref="X14" si="1">SUM(W14:W16)</f>
        <v>9</v>
      </c>
      <c r="Y14" s="394"/>
      <c r="AA14" s="647" t="s">
        <v>665</v>
      </c>
      <c r="AB14" s="648" t="s">
        <v>666</v>
      </c>
      <c r="AC14" s="648"/>
      <c r="AD14" s="649"/>
    </row>
    <row r="15" spans="2:30" ht="18" thickBot="1">
      <c r="B15" s="284"/>
      <c r="C15" s="285"/>
      <c r="D15" s="287"/>
      <c r="E15" s="48" t="s">
        <v>12</v>
      </c>
      <c r="F15" s="270" t="s">
        <v>225</v>
      </c>
      <c r="G15" s="266"/>
      <c r="H15" s="49">
        <v>4</v>
      </c>
      <c r="I15" s="50" t="s">
        <v>337</v>
      </c>
      <c r="J15" s="51">
        <v>3</v>
      </c>
      <c r="K15" s="270"/>
      <c r="L15" s="271"/>
      <c r="M15" s="265">
        <v>3</v>
      </c>
      <c r="N15" s="272"/>
      <c r="O15" s="273"/>
      <c r="P15" s="271"/>
      <c r="Q15" s="265"/>
      <c r="R15" s="272"/>
      <c r="S15" s="273"/>
      <c r="T15" s="271"/>
      <c r="U15" s="265"/>
      <c r="V15" s="266"/>
      <c r="W15" s="52">
        <f t="shared" si="0"/>
        <v>3</v>
      </c>
      <c r="X15" s="401"/>
      <c r="Y15" s="394"/>
    </row>
    <row r="16" spans="2:30" ht="18" thickBot="1">
      <c r="B16" s="284"/>
      <c r="C16" s="285"/>
      <c r="D16" s="288"/>
      <c r="E16" s="57" t="s">
        <v>338</v>
      </c>
      <c r="F16" s="264" t="s">
        <v>670</v>
      </c>
      <c r="G16" s="395"/>
      <c r="H16" s="54">
        <v>4</v>
      </c>
      <c r="I16" s="55" t="s">
        <v>339</v>
      </c>
      <c r="J16" s="56">
        <v>3</v>
      </c>
      <c r="K16" s="264"/>
      <c r="L16" s="236"/>
      <c r="M16" s="251"/>
      <c r="N16" s="252"/>
      <c r="O16" s="235">
        <v>3</v>
      </c>
      <c r="P16" s="236"/>
      <c r="Q16" s="251"/>
      <c r="R16" s="252"/>
      <c r="S16" s="235"/>
      <c r="T16" s="236"/>
      <c r="U16" s="251"/>
      <c r="V16" s="395"/>
      <c r="W16" s="52">
        <f t="shared" si="0"/>
        <v>3</v>
      </c>
      <c r="X16" s="401"/>
      <c r="Y16" s="394"/>
    </row>
    <row r="17" spans="2:29" ht="18" thickBot="1">
      <c r="B17" s="284"/>
      <c r="C17" s="285"/>
      <c r="D17" s="286" t="s">
        <v>341</v>
      </c>
      <c r="E17" s="43" t="s">
        <v>12</v>
      </c>
      <c r="F17" s="260" t="s">
        <v>233</v>
      </c>
      <c r="G17" s="290"/>
      <c r="H17" s="44">
        <v>3</v>
      </c>
      <c r="I17" s="58" t="s">
        <v>342</v>
      </c>
      <c r="J17" s="46">
        <v>3</v>
      </c>
      <c r="K17" s="377"/>
      <c r="L17" s="234"/>
      <c r="M17" s="237"/>
      <c r="N17" s="242"/>
      <c r="O17" s="233">
        <v>3</v>
      </c>
      <c r="P17" s="234"/>
      <c r="Q17" s="237"/>
      <c r="R17" s="242"/>
      <c r="S17" s="233"/>
      <c r="T17" s="234"/>
      <c r="U17" s="237"/>
      <c r="V17" s="238"/>
      <c r="W17" s="47">
        <f t="shared" si="0"/>
        <v>3</v>
      </c>
      <c r="X17" s="399">
        <f>SUM(W17:W18)</f>
        <v>6</v>
      </c>
      <c r="Y17" s="394">
        <v>6</v>
      </c>
    </row>
    <row r="18" spans="2:29" ht="18" thickBot="1">
      <c r="B18" s="284"/>
      <c r="C18" s="285"/>
      <c r="D18" s="287"/>
      <c r="E18" s="59" t="s">
        <v>12</v>
      </c>
      <c r="F18" s="245" t="s">
        <v>343</v>
      </c>
      <c r="G18" s="241"/>
      <c r="H18" s="60">
        <v>3</v>
      </c>
      <c r="I18" s="61" t="s">
        <v>342</v>
      </c>
      <c r="J18" s="140">
        <v>3</v>
      </c>
      <c r="K18" s="264"/>
      <c r="L18" s="236"/>
      <c r="M18" s="251"/>
      <c r="N18" s="252"/>
      <c r="O18" s="235"/>
      <c r="P18" s="236"/>
      <c r="Q18" s="251">
        <v>3</v>
      </c>
      <c r="R18" s="252"/>
      <c r="S18" s="235"/>
      <c r="T18" s="236"/>
      <c r="U18" s="251"/>
      <c r="V18" s="395"/>
      <c r="W18" s="62">
        <f t="shared" si="0"/>
        <v>3</v>
      </c>
      <c r="X18" s="400"/>
      <c r="Y18" s="394"/>
      <c r="AA18" s="300"/>
      <c r="AB18" s="300"/>
      <c r="AC18" s="34"/>
    </row>
    <row r="19" spans="2:29" ht="18" thickBot="1">
      <c r="B19" s="284"/>
      <c r="C19" s="285"/>
      <c r="D19" s="287"/>
      <c r="E19" s="43" t="s">
        <v>12</v>
      </c>
      <c r="F19" s="260" t="s">
        <v>236</v>
      </c>
      <c r="G19" s="290"/>
      <c r="H19" s="44">
        <v>4</v>
      </c>
      <c r="I19" s="58" t="s">
        <v>337</v>
      </c>
      <c r="J19" s="46">
        <v>3</v>
      </c>
      <c r="K19" s="260">
        <v>3</v>
      </c>
      <c r="L19" s="261"/>
      <c r="M19" s="262"/>
      <c r="N19" s="263"/>
      <c r="O19" s="289"/>
      <c r="P19" s="261"/>
      <c r="Q19" s="262"/>
      <c r="R19" s="263"/>
      <c r="S19" s="289"/>
      <c r="T19" s="261"/>
      <c r="U19" s="262"/>
      <c r="V19" s="290"/>
      <c r="W19" s="47">
        <f t="shared" si="0"/>
        <v>3</v>
      </c>
      <c r="X19" s="399">
        <f>SUM(W19:W20)</f>
        <v>6</v>
      </c>
      <c r="Y19" s="394">
        <v>12</v>
      </c>
    </row>
    <row r="20" spans="2:29" ht="18" thickBot="1">
      <c r="B20" s="284"/>
      <c r="C20" s="285"/>
      <c r="D20" s="288"/>
      <c r="E20" s="57" t="s">
        <v>12</v>
      </c>
      <c r="F20" s="264" t="s">
        <v>344</v>
      </c>
      <c r="G20" s="395"/>
      <c r="H20" s="54">
        <v>4</v>
      </c>
      <c r="I20" s="55" t="s">
        <v>337</v>
      </c>
      <c r="J20" s="56">
        <v>3</v>
      </c>
      <c r="K20" s="264"/>
      <c r="L20" s="236"/>
      <c r="M20" s="251">
        <v>3</v>
      </c>
      <c r="N20" s="252"/>
      <c r="O20" s="235"/>
      <c r="P20" s="236"/>
      <c r="Q20" s="251"/>
      <c r="R20" s="252"/>
      <c r="S20" s="235"/>
      <c r="T20" s="236"/>
      <c r="U20" s="251"/>
      <c r="V20" s="395"/>
      <c r="W20" s="62">
        <f t="shared" si="0"/>
        <v>3</v>
      </c>
      <c r="X20" s="400"/>
      <c r="Y20" s="394"/>
    </row>
    <row r="21" spans="2:29" ht="18" thickBot="1">
      <c r="B21" s="284"/>
      <c r="C21" s="285"/>
      <c r="D21" s="286" t="s">
        <v>26</v>
      </c>
      <c r="E21" s="43" t="s">
        <v>12</v>
      </c>
      <c r="F21" s="260" t="s">
        <v>254</v>
      </c>
      <c r="G21" s="290"/>
      <c r="H21" s="44">
        <v>4</v>
      </c>
      <c r="I21" s="58" t="s">
        <v>337</v>
      </c>
      <c r="J21" s="46">
        <v>3</v>
      </c>
      <c r="K21" s="260">
        <v>3</v>
      </c>
      <c r="L21" s="261"/>
      <c r="M21" s="262"/>
      <c r="N21" s="263"/>
      <c r="O21" s="289"/>
      <c r="P21" s="261"/>
      <c r="Q21" s="262"/>
      <c r="R21" s="263"/>
      <c r="S21" s="289"/>
      <c r="T21" s="261"/>
      <c r="U21" s="262"/>
      <c r="V21" s="290"/>
      <c r="W21" s="47">
        <f t="shared" si="0"/>
        <v>3</v>
      </c>
      <c r="X21" s="283">
        <f>SUM(W21:W22)</f>
        <v>6</v>
      </c>
      <c r="Y21" s="394"/>
    </row>
    <row r="22" spans="2:29" ht="18" thickBot="1">
      <c r="B22" s="284"/>
      <c r="C22" s="285"/>
      <c r="D22" s="287"/>
      <c r="E22" s="48" t="s">
        <v>12</v>
      </c>
      <c r="F22" s="270" t="s">
        <v>345</v>
      </c>
      <c r="G22" s="266"/>
      <c r="H22" s="49">
        <v>4</v>
      </c>
      <c r="I22" s="50" t="s">
        <v>337</v>
      </c>
      <c r="J22" s="51">
        <v>3</v>
      </c>
      <c r="K22" s="270"/>
      <c r="L22" s="271"/>
      <c r="M22" s="265">
        <v>3</v>
      </c>
      <c r="N22" s="272"/>
      <c r="O22" s="273"/>
      <c r="P22" s="271"/>
      <c r="Q22" s="265"/>
      <c r="R22" s="272"/>
      <c r="S22" s="273"/>
      <c r="T22" s="271"/>
      <c r="U22" s="265"/>
      <c r="V22" s="266"/>
      <c r="W22" s="52">
        <f t="shared" si="0"/>
        <v>3</v>
      </c>
      <c r="X22" s="285"/>
      <c r="Y22" s="394"/>
    </row>
    <row r="23" spans="2:29" ht="16.5" customHeight="1" thickBot="1">
      <c r="B23" s="284"/>
      <c r="C23" s="285"/>
      <c r="D23" s="286" t="s">
        <v>8</v>
      </c>
      <c r="E23" s="43" t="s">
        <v>346</v>
      </c>
      <c r="F23" s="260" t="s">
        <v>347</v>
      </c>
      <c r="G23" s="290"/>
      <c r="H23" s="44">
        <v>3</v>
      </c>
      <c r="I23" s="58" t="s">
        <v>348</v>
      </c>
      <c r="J23" s="46">
        <v>2</v>
      </c>
      <c r="K23" s="260">
        <v>2</v>
      </c>
      <c r="L23" s="261"/>
      <c r="M23" s="262"/>
      <c r="N23" s="263"/>
      <c r="O23" s="289"/>
      <c r="P23" s="261"/>
      <c r="Q23" s="262"/>
      <c r="R23" s="263"/>
      <c r="S23" s="289"/>
      <c r="T23" s="261"/>
      <c r="U23" s="262"/>
      <c r="V23" s="290"/>
      <c r="W23" s="47">
        <f>SUM(K23:V23)</f>
        <v>2</v>
      </c>
      <c r="X23" s="396">
        <f>SUM(W23:W27)</f>
        <v>8</v>
      </c>
      <c r="Y23" s="394">
        <v>8</v>
      </c>
    </row>
    <row r="24" spans="2:29" ht="18" thickBot="1">
      <c r="B24" s="284"/>
      <c r="C24" s="285"/>
      <c r="D24" s="287"/>
      <c r="E24" s="48" t="s">
        <v>346</v>
      </c>
      <c r="F24" s="270" t="s">
        <v>349</v>
      </c>
      <c r="G24" s="266"/>
      <c r="H24" s="49">
        <v>3</v>
      </c>
      <c r="I24" s="50" t="s">
        <v>348</v>
      </c>
      <c r="J24" s="51">
        <v>2</v>
      </c>
      <c r="K24" s="270"/>
      <c r="L24" s="271"/>
      <c r="M24" s="265">
        <v>2</v>
      </c>
      <c r="N24" s="272"/>
      <c r="O24" s="273"/>
      <c r="P24" s="271"/>
      <c r="Q24" s="265"/>
      <c r="R24" s="272"/>
      <c r="S24" s="273"/>
      <c r="T24" s="271"/>
      <c r="U24" s="265"/>
      <c r="V24" s="266"/>
      <c r="W24" s="52">
        <f t="shared" ref="W24:W27" si="2">SUM(K24:V24)</f>
        <v>2</v>
      </c>
      <c r="X24" s="397"/>
      <c r="Y24" s="394"/>
    </row>
    <row r="25" spans="2:29" ht="18" thickBot="1">
      <c r="B25" s="284"/>
      <c r="C25" s="285"/>
      <c r="D25" s="287"/>
      <c r="E25" s="48" t="s">
        <v>338</v>
      </c>
      <c r="F25" s="270" t="s">
        <v>522</v>
      </c>
      <c r="G25" s="266"/>
      <c r="H25" s="49">
        <v>3</v>
      </c>
      <c r="I25" s="50" t="s">
        <v>348</v>
      </c>
      <c r="J25" s="51">
        <v>2</v>
      </c>
      <c r="K25" s="270"/>
      <c r="L25" s="271"/>
      <c r="M25" s="265"/>
      <c r="N25" s="272"/>
      <c r="O25" s="273">
        <v>2</v>
      </c>
      <c r="P25" s="271"/>
      <c r="Q25" s="265"/>
      <c r="R25" s="272"/>
      <c r="S25" s="273"/>
      <c r="T25" s="271"/>
      <c r="U25" s="265"/>
      <c r="V25" s="266"/>
      <c r="W25" s="52">
        <f t="shared" si="2"/>
        <v>2</v>
      </c>
      <c r="X25" s="397"/>
      <c r="Y25" s="394"/>
    </row>
    <row r="26" spans="2:29" ht="18" thickBot="1">
      <c r="B26" s="284"/>
      <c r="C26" s="285"/>
      <c r="D26" s="287"/>
      <c r="E26" s="48" t="s">
        <v>338</v>
      </c>
      <c r="F26" s="270" t="s">
        <v>367</v>
      </c>
      <c r="G26" s="266"/>
      <c r="H26" s="49">
        <v>2</v>
      </c>
      <c r="I26" s="50" t="s">
        <v>350</v>
      </c>
      <c r="J26" s="51">
        <v>1</v>
      </c>
      <c r="K26" s="270"/>
      <c r="L26" s="271"/>
      <c r="M26" s="265"/>
      <c r="N26" s="272"/>
      <c r="O26" s="273"/>
      <c r="P26" s="271"/>
      <c r="Q26" s="265">
        <v>1</v>
      </c>
      <c r="R26" s="272"/>
      <c r="S26" s="273"/>
      <c r="T26" s="271"/>
      <c r="U26" s="265"/>
      <c r="V26" s="266"/>
      <c r="W26" s="52">
        <f t="shared" si="2"/>
        <v>1</v>
      </c>
      <c r="X26" s="397"/>
      <c r="Y26" s="394"/>
    </row>
    <row r="27" spans="2:29" ht="18" thickBot="1">
      <c r="B27" s="284"/>
      <c r="C27" s="285"/>
      <c r="D27" s="288"/>
      <c r="E27" s="57" t="s">
        <v>338</v>
      </c>
      <c r="F27" s="264" t="s">
        <v>521</v>
      </c>
      <c r="G27" s="395"/>
      <c r="H27" s="54">
        <v>2</v>
      </c>
      <c r="I27" s="55" t="s">
        <v>350</v>
      </c>
      <c r="J27" s="56">
        <v>1</v>
      </c>
      <c r="K27" s="264"/>
      <c r="L27" s="236"/>
      <c r="M27" s="251"/>
      <c r="N27" s="252"/>
      <c r="O27" s="235"/>
      <c r="P27" s="236"/>
      <c r="Q27" s="251"/>
      <c r="R27" s="252"/>
      <c r="S27" s="235">
        <v>1</v>
      </c>
      <c r="T27" s="236"/>
      <c r="U27" s="251"/>
      <c r="V27" s="395"/>
      <c r="W27" s="62">
        <f t="shared" si="2"/>
        <v>1</v>
      </c>
      <c r="X27" s="398"/>
      <c r="Y27" s="394"/>
    </row>
    <row r="28" spans="2:29" ht="18" thickBot="1">
      <c r="B28" s="284"/>
      <c r="C28" s="285"/>
      <c r="D28" s="286" t="s">
        <v>28</v>
      </c>
      <c r="E28" s="43" t="s">
        <v>346</v>
      </c>
      <c r="F28" s="260" t="s">
        <v>47</v>
      </c>
      <c r="G28" s="290"/>
      <c r="H28" s="44">
        <v>3</v>
      </c>
      <c r="I28" s="63" t="s">
        <v>348</v>
      </c>
      <c r="J28" s="46">
        <v>3</v>
      </c>
      <c r="K28" s="260"/>
      <c r="L28" s="261"/>
      <c r="M28" s="262"/>
      <c r="N28" s="263"/>
      <c r="O28" s="289">
        <v>3</v>
      </c>
      <c r="P28" s="261"/>
      <c r="Q28" s="262"/>
      <c r="R28" s="263"/>
      <c r="S28" s="289"/>
      <c r="T28" s="261"/>
      <c r="U28" s="262"/>
      <c r="V28" s="290"/>
      <c r="W28" s="211">
        <f>SUM(K28:V29)</f>
        <v>6</v>
      </c>
      <c r="X28" s="212"/>
      <c r="Y28" s="394">
        <v>6</v>
      </c>
    </row>
    <row r="29" spans="2:29" ht="18" thickBot="1">
      <c r="B29" s="284"/>
      <c r="C29" s="285"/>
      <c r="D29" s="287"/>
      <c r="E29" s="53" t="s">
        <v>346</v>
      </c>
      <c r="F29" s="270" t="s">
        <v>9</v>
      </c>
      <c r="G29" s="266"/>
      <c r="H29" s="49">
        <v>3</v>
      </c>
      <c r="I29" s="50" t="s">
        <v>348</v>
      </c>
      <c r="J29" s="51">
        <v>3</v>
      </c>
      <c r="K29" s="270"/>
      <c r="L29" s="271"/>
      <c r="M29" s="265"/>
      <c r="N29" s="272"/>
      <c r="O29" s="273"/>
      <c r="P29" s="271"/>
      <c r="Q29" s="265">
        <v>3</v>
      </c>
      <c r="R29" s="272"/>
      <c r="S29" s="273"/>
      <c r="T29" s="271"/>
      <c r="U29" s="265"/>
      <c r="V29" s="266"/>
      <c r="W29" s="213"/>
      <c r="X29" s="214"/>
      <c r="Y29" s="394"/>
    </row>
    <row r="30" spans="2:29" ht="22.8" customHeight="1" thickBot="1">
      <c r="B30" s="284"/>
      <c r="C30" s="285"/>
      <c r="D30" s="291" t="s">
        <v>351</v>
      </c>
      <c r="E30" s="43" t="s">
        <v>346</v>
      </c>
      <c r="F30" s="260" t="s">
        <v>540</v>
      </c>
      <c r="G30" s="290"/>
      <c r="H30" s="44">
        <v>4</v>
      </c>
      <c r="I30" s="58" t="s">
        <v>339</v>
      </c>
      <c r="J30" s="46">
        <v>4</v>
      </c>
      <c r="K30" s="260"/>
      <c r="L30" s="261"/>
      <c r="M30" s="262"/>
      <c r="N30" s="263"/>
      <c r="O30" s="289">
        <v>4</v>
      </c>
      <c r="P30" s="261"/>
      <c r="Q30" s="262"/>
      <c r="R30" s="263"/>
      <c r="S30" s="289"/>
      <c r="T30" s="261"/>
      <c r="U30" s="262"/>
      <c r="V30" s="290"/>
      <c r="W30" s="211">
        <f>SUM(K30:V31)</f>
        <v>8</v>
      </c>
      <c r="X30" s="212"/>
      <c r="Y30" s="394">
        <v>8</v>
      </c>
    </row>
    <row r="31" spans="2:29" ht="16.5" customHeight="1" thickBot="1">
      <c r="B31" s="284"/>
      <c r="C31" s="285"/>
      <c r="D31" s="292"/>
      <c r="E31" s="663" t="s">
        <v>338</v>
      </c>
      <c r="F31" s="267" t="s">
        <v>541</v>
      </c>
      <c r="G31" s="274"/>
      <c r="H31" s="144">
        <v>4</v>
      </c>
      <c r="I31" s="145" t="s">
        <v>539</v>
      </c>
      <c r="J31" s="146">
        <v>4</v>
      </c>
      <c r="K31" s="264"/>
      <c r="L31" s="236"/>
      <c r="M31" s="251"/>
      <c r="N31" s="252"/>
      <c r="O31" s="273"/>
      <c r="P31" s="271"/>
      <c r="Q31" s="265">
        <v>4</v>
      </c>
      <c r="R31" s="272"/>
      <c r="S31" s="235"/>
      <c r="T31" s="236"/>
      <c r="U31" s="251"/>
      <c r="V31" s="395"/>
      <c r="W31" s="213"/>
      <c r="X31" s="214"/>
      <c r="Y31" s="394"/>
    </row>
    <row r="32" spans="2:29" ht="24.75" customHeight="1" thickBot="1">
      <c r="B32" s="277" t="s">
        <v>360</v>
      </c>
      <c r="C32" s="278"/>
      <c r="D32" s="278"/>
      <c r="E32" s="278"/>
      <c r="F32" s="278"/>
      <c r="G32" s="279"/>
      <c r="H32" s="139">
        <f>SUM(H9:H31)</f>
        <v>81</v>
      </c>
      <c r="I32" s="17"/>
      <c r="J32" s="38">
        <f>SUM(J9:J31)</f>
        <v>64</v>
      </c>
      <c r="K32" s="280">
        <f>SUM(K9:L31)</f>
        <v>17</v>
      </c>
      <c r="L32" s="281"/>
      <c r="M32" s="281">
        <f>SUM(M9:N31)</f>
        <v>17</v>
      </c>
      <c r="N32" s="321"/>
      <c r="O32" s="457">
        <f>SUM(O9:P31)</f>
        <v>15</v>
      </c>
      <c r="P32" s="281"/>
      <c r="Q32" s="281">
        <f>SUM(Q9:R31)</f>
        <v>14</v>
      </c>
      <c r="R32" s="389"/>
      <c r="S32" s="320">
        <f>SUM(S9:T31)</f>
        <v>1</v>
      </c>
      <c r="T32" s="281"/>
      <c r="U32" s="281">
        <f>SUM(U9:V31)</f>
        <v>0</v>
      </c>
      <c r="V32" s="390"/>
      <c r="W32" s="277">
        <f>SUM(K32:V32)</f>
        <v>64</v>
      </c>
      <c r="X32" s="320"/>
      <c r="Y32" s="38">
        <f>SUM(Y9:Y31)</f>
        <v>64</v>
      </c>
      <c r="AA32" s="312" t="b">
        <f>W32&gt;=Y32</f>
        <v>1</v>
      </c>
      <c r="AB32" s="313"/>
    </row>
    <row r="33" spans="2:25" ht="17.25" customHeight="1">
      <c r="B33" s="282" t="s">
        <v>352</v>
      </c>
      <c r="C33" s="375"/>
      <c r="D33" s="657" t="s">
        <v>353</v>
      </c>
      <c r="E33" s="658"/>
      <c r="F33" s="661" t="s">
        <v>354</v>
      </c>
      <c r="G33" s="662"/>
      <c r="H33" s="157">
        <v>2</v>
      </c>
      <c r="I33" s="158" t="s">
        <v>531</v>
      </c>
      <c r="J33" s="159">
        <v>2</v>
      </c>
      <c r="K33" s="377"/>
      <c r="L33" s="234"/>
      <c r="M33" s="237">
        <v>2</v>
      </c>
      <c r="N33" s="242"/>
      <c r="O33" s="233"/>
      <c r="P33" s="234"/>
      <c r="Q33" s="237"/>
      <c r="R33" s="242"/>
      <c r="S33" s="233"/>
      <c r="T33" s="234"/>
      <c r="U33" s="237"/>
      <c r="V33" s="238"/>
      <c r="W33" s="665">
        <f>SUM(K33:V33)</f>
        <v>2</v>
      </c>
      <c r="X33" s="666"/>
      <c r="Y33" s="378">
        <v>80</v>
      </c>
    </row>
    <row r="34" spans="2:25" ht="17.25" customHeight="1">
      <c r="B34" s="284"/>
      <c r="C34" s="376"/>
      <c r="D34" s="655" t="s">
        <v>671</v>
      </c>
      <c r="E34" s="656"/>
      <c r="F34" s="659" t="s">
        <v>713</v>
      </c>
      <c r="G34" s="660"/>
      <c r="H34" s="650">
        <v>3</v>
      </c>
      <c r="I34" s="651" t="s">
        <v>672</v>
      </c>
      <c r="J34" s="652">
        <v>4</v>
      </c>
      <c r="K34" s="366"/>
      <c r="L34" s="244"/>
      <c r="M34" s="253"/>
      <c r="N34" s="254"/>
      <c r="O34" s="458"/>
      <c r="P34" s="244"/>
      <c r="Q34" s="253"/>
      <c r="R34" s="254"/>
      <c r="S34" s="458">
        <v>4</v>
      </c>
      <c r="T34" s="244"/>
      <c r="U34" s="253"/>
      <c r="V34" s="459"/>
      <c r="W34" s="460">
        <v>4</v>
      </c>
      <c r="X34" s="461"/>
      <c r="Y34" s="379"/>
    </row>
    <row r="35" spans="2:25" ht="17.25" customHeight="1" thickBot="1">
      <c r="B35" s="284"/>
      <c r="C35" s="376"/>
      <c r="D35" s="653" t="s">
        <v>523</v>
      </c>
      <c r="E35" s="654"/>
      <c r="F35" s="293" t="s">
        <v>524</v>
      </c>
      <c r="G35" s="294"/>
      <c r="H35" s="160">
        <v>3</v>
      </c>
      <c r="I35" s="161" t="s">
        <v>531</v>
      </c>
      <c r="J35" s="162">
        <v>4</v>
      </c>
      <c r="K35" s="295"/>
      <c r="L35" s="296"/>
      <c r="M35" s="296"/>
      <c r="N35" s="664"/>
      <c r="O35" s="236"/>
      <c r="P35" s="296"/>
      <c r="Q35" s="296"/>
      <c r="R35" s="664"/>
      <c r="S35" s="236"/>
      <c r="T35" s="296"/>
      <c r="U35" s="296">
        <v>4</v>
      </c>
      <c r="V35" s="386"/>
      <c r="W35" s="387">
        <f>SUM(K35:V35)</f>
        <v>4</v>
      </c>
      <c r="X35" s="388"/>
      <c r="Y35" s="379"/>
    </row>
    <row r="36" spans="2:25" ht="17.25" customHeight="1">
      <c r="B36" s="284"/>
      <c r="C36" s="285"/>
      <c r="D36" s="67" t="s">
        <v>515</v>
      </c>
      <c r="E36" s="155" t="s">
        <v>355</v>
      </c>
      <c r="F36" s="380" t="s">
        <v>673</v>
      </c>
      <c r="G36" s="381"/>
      <c r="H36" s="163">
        <v>3</v>
      </c>
      <c r="I36" s="164" t="s">
        <v>531</v>
      </c>
      <c r="J36" s="165">
        <v>4</v>
      </c>
      <c r="K36" s="366">
        <v>4</v>
      </c>
      <c r="L36" s="244"/>
      <c r="M36" s="253"/>
      <c r="N36" s="458"/>
      <c r="O36" s="243"/>
      <c r="P36" s="244"/>
      <c r="Q36" s="253"/>
      <c r="R36" s="254"/>
      <c r="S36" s="458"/>
      <c r="T36" s="244"/>
      <c r="U36" s="253"/>
      <c r="V36" s="459"/>
      <c r="W36" s="460">
        <f t="shared" ref="W36:W45" si="3">SUM(K36:V36)</f>
        <v>4</v>
      </c>
      <c r="X36" s="461"/>
      <c r="Y36" s="357"/>
    </row>
    <row r="37" spans="2:25" ht="17.25" customHeight="1">
      <c r="B37" s="284"/>
      <c r="C37" s="285"/>
      <c r="D37" s="64" t="s">
        <v>515</v>
      </c>
      <c r="E37" s="65" t="s">
        <v>355</v>
      </c>
      <c r="F37" s="382" t="s">
        <v>674</v>
      </c>
      <c r="G37" s="383"/>
      <c r="H37" s="163">
        <v>3</v>
      </c>
      <c r="I37" s="164" t="s">
        <v>531</v>
      </c>
      <c r="J37" s="165">
        <v>4</v>
      </c>
      <c r="K37" s="270">
        <v>4</v>
      </c>
      <c r="L37" s="271"/>
      <c r="M37" s="265"/>
      <c r="N37" s="272"/>
      <c r="O37" s="273"/>
      <c r="P37" s="271"/>
      <c r="Q37" s="265"/>
      <c r="R37" s="272"/>
      <c r="S37" s="273"/>
      <c r="T37" s="271"/>
      <c r="U37" s="265"/>
      <c r="V37" s="266"/>
      <c r="W37" s="391">
        <f t="shared" si="3"/>
        <v>4</v>
      </c>
      <c r="X37" s="392"/>
      <c r="Y37" s="357"/>
    </row>
    <row r="38" spans="2:25" ht="17.25" customHeight="1">
      <c r="B38" s="284"/>
      <c r="C38" s="285"/>
      <c r="D38" s="64" t="s">
        <v>515</v>
      </c>
      <c r="E38" s="65" t="s">
        <v>355</v>
      </c>
      <c r="F38" s="382" t="s">
        <v>675</v>
      </c>
      <c r="G38" s="383"/>
      <c r="H38" s="163">
        <v>3</v>
      </c>
      <c r="I38" s="164" t="s">
        <v>531</v>
      </c>
      <c r="J38" s="165">
        <v>4</v>
      </c>
      <c r="K38" s="270">
        <v>4</v>
      </c>
      <c r="L38" s="271"/>
      <c r="M38" s="265"/>
      <c r="N38" s="272"/>
      <c r="O38" s="273"/>
      <c r="P38" s="271"/>
      <c r="Q38" s="265"/>
      <c r="R38" s="272"/>
      <c r="S38" s="273"/>
      <c r="T38" s="271"/>
      <c r="U38" s="265"/>
      <c r="V38" s="266"/>
      <c r="W38" s="391">
        <f t="shared" si="3"/>
        <v>4</v>
      </c>
      <c r="X38" s="392"/>
      <c r="Y38" s="357"/>
    </row>
    <row r="39" spans="2:25" ht="17.25" customHeight="1">
      <c r="B39" s="284"/>
      <c r="C39" s="285"/>
      <c r="D39" s="64" t="s">
        <v>515</v>
      </c>
      <c r="E39" s="65" t="s">
        <v>355</v>
      </c>
      <c r="F39" s="221" t="s">
        <v>676</v>
      </c>
      <c r="G39" s="222"/>
      <c r="H39" s="163">
        <v>3</v>
      </c>
      <c r="I39" s="164" t="s">
        <v>531</v>
      </c>
      <c r="J39" s="165">
        <v>4</v>
      </c>
      <c r="K39" s="270"/>
      <c r="L39" s="271"/>
      <c r="M39" s="265">
        <v>4</v>
      </c>
      <c r="N39" s="272"/>
      <c r="O39" s="273"/>
      <c r="P39" s="271"/>
      <c r="Q39" s="265"/>
      <c r="R39" s="272"/>
      <c r="S39" s="273"/>
      <c r="T39" s="271"/>
      <c r="U39" s="265"/>
      <c r="V39" s="266"/>
      <c r="W39" s="391">
        <f t="shared" si="3"/>
        <v>4</v>
      </c>
      <c r="X39" s="392"/>
      <c r="Y39" s="357"/>
    </row>
    <row r="40" spans="2:25" ht="17.25" customHeight="1">
      <c r="B40" s="284"/>
      <c r="C40" s="285"/>
      <c r="D40" s="64" t="s">
        <v>515</v>
      </c>
      <c r="E40" s="65" t="s">
        <v>355</v>
      </c>
      <c r="F40" s="221" t="s">
        <v>526</v>
      </c>
      <c r="G40" s="222"/>
      <c r="H40" s="163">
        <v>3</v>
      </c>
      <c r="I40" s="164" t="s">
        <v>531</v>
      </c>
      <c r="J40" s="165">
        <v>6</v>
      </c>
      <c r="K40" s="270"/>
      <c r="L40" s="271"/>
      <c r="M40" s="265">
        <v>6</v>
      </c>
      <c r="N40" s="393"/>
      <c r="O40" s="273"/>
      <c r="P40" s="271"/>
      <c r="Q40" s="265"/>
      <c r="R40" s="272"/>
      <c r="S40" s="393"/>
      <c r="T40" s="271"/>
      <c r="U40" s="265"/>
      <c r="V40" s="266"/>
      <c r="W40" s="391">
        <f t="shared" si="3"/>
        <v>6</v>
      </c>
      <c r="X40" s="392"/>
      <c r="Y40" s="357"/>
    </row>
    <row r="41" spans="2:25" ht="17.25" customHeight="1">
      <c r="B41" s="284"/>
      <c r="C41" s="285"/>
      <c r="D41" s="66" t="s">
        <v>515</v>
      </c>
      <c r="E41" s="65" t="s">
        <v>355</v>
      </c>
      <c r="F41" s="221" t="s">
        <v>527</v>
      </c>
      <c r="G41" s="222"/>
      <c r="H41" s="163">
        <v>3</v>
      </c>
      <c r="I41" s="166" t="s">
        <v>531</v>
      </c>
      <c r="J41" s="167">
        <v>5</v>
      </c>
      <c r="K41" s="270"/>
      <c r="L41" s="271"/>
      <c r="M41" s="265"/>
      <c r="N41" s="393"/>
      <c r="O41" s="273"/>
      <c r="P41" s="271"/>
      <c r="Q41" s="265"/>
      <c r="R41" s="272"/>
      <c r="S41" s="393">
        <v>5</v>
      </c>
      <c r="T41" s="271"/>
      <c r="U41" s="265"/>
      <c r="V41" s="266"/>
      <c r="W41" s="391">
        <f>SUM(K41:V41)</f>
        <v>5</v>
      </c>
      <c r="X41" s="392"/>
      <c r="Y41" s="357"/>
    </row>
    <row r="42" spans="2:25" ht="17.25" customHeight="1">
      <c r="B42" s="284"/>
      <c r="C42" s="285"/>
      <c r="D42" s="66" t="s">
        <v>525</v>
      </c>
      <c r="E42" s="65" t="s">
        <v>529</v>
      </c>
      <c r="F42" s="221" t="s">
        <v>679</v>
      </c>
      <c r="G42" s="222"/>
      <c r="H42" s="163">
        <v>3</v>
      </c>
      <c r="I42" s="166" t="s">
        <v>531</v>
      </c>
      <c r="J42" s="167">
        <v>9</v>
      </c>
      <c r="K42" s="270"/>
      <c r="L42" s="271"/>
      <c r="M42" s="265"/>
      <c r="N42" s="272"/>
      <c r="O42" s="273">
        <v>4</v>
      </c>
      <c r="P42" s="271"/>
      <c r="Q42" s="265">
        <v>5</v>
      </c>
      <c r="R42" s="272"/>
      <c r="S42" s="273"/>
      <c r="T42" s="271"/>
      <c r="U42" s="265"/>
      <c r="V42" s="266"/>
      <c r="W42" s="391">
        <f t="shared" ref="W42:W43" si="4">SUM(K42:V42)</f>
        <v>9</v>
      </c>
      <c r="X42" s="392"/>
      <c r="Y42" s="357"/>
    </row>
    <row r="43" spans="2:25" ht="17.25" customHeight="1">
      <c r="B43" s="284"/>
      <c r="C43" s="285"/>
      <c r="D43" s="66" t="s">
        <v>525</v>
      </c>
      <c r="E43" s="65" t="s">
        <v>529</v>
      </c>
      <c r="F43" s="221" t="s">
        <v>530</v>
      </c>
      <c r="G43" s="222"/>
      <c r="H43" s="163">
        <v>3</v>
      </c>
      <c r="I43" s="166" t="s">
        <v>531</v>
      </c>
      <c r="J43" s="167">
        <v>8</v>
      </c>
      <c r="K43" s="270"/>
      <c r="L43" s="271"/>
      <c r="M43" s="265"/>
      <c r="N43" s="272"/>
      <c r="O43" s="273">
        <v>4</v>
      </c>
      <c r="P43" s="271"/>
      <c r="Q43" s="265">
        <v>4</v>
      </c>
      <c r="R43" s="272"/>
      <c r="S43" s="273"/>
      <c r="T43" s="271"/>
      <c r="U43" s="265"/>
      <c r="V43" s="266"/>
      <c r="W43" s="391">
        <f t="shared" si="4"/>
        <v>8</v>
      </c>
      <c r="X43" s="392"/>
      <c r="Y43" s="357"/>
    </row>
    <row r="44" spans="2:25" ht="16.5" customHeight="1">
      <c r="B44" s="284"/>
      <c r="C44" s="285"/>
      <c r="D44" s="67" t="s">
        <v>515</v>
      </c>
      <c r="E44" s="65" t="s">
        <v>356</v>
      </c>
      <c r="F44" s="221" t="s">
        <v>677</v>
      </c>
      <c r="G44" s="222"/>
      <c r="H44" s="168">
        <v>3</v>
      </c>
      <c r="I44" s="166" t="s">
        <v>531</v>
      </c>
      <c r="J44" s="167">
        <v>8</v>
      </c>
      <c r="K44" s="270"/>
      <c r="L44" s="271"/>
      <c r="M44" s="265"/>
      <c r="N44" s="272"/>
      <c r="O44" s="273">
        <v>4</v>
      </c>
      <c r="P44" s="271"/>
      <c r="Q44" s="265">
        <v>4</v>
      </c>
      <c r="R44" s="272"/>
      <c r="S44" s="273"/>
      <c r="T44" s="271"/>
      <c r="U44" s="265"/>
      <c r="V44" s="266"/>
      <c r="W44" s="391">
        <f t="shared" si="3"/>
        <v>8</v>
      </c>
      <c r="X44" s="392"/>
      <c r="Y44" s="357"/>
    </row>
    <row r="45" spans="2:25" ht="16.5" customHeight="1" thickBot="1">
      <c r="B45" s="284"/>
      <c r="C45" s="285"/>
      <c r="D45" s="64" t="s">
        <v>515</v>
      </c>
      <c r="E45" s="156" t="s">
        <v>356</v>
      </c>
      <c r="F45" s="384" t="s">
        <v>678</v>
      </c>
      <c r="G45" s="385"/>
      <c r="H45" s="169">
        <v>3</v>
      </c>
      <c r="I45" s="170" t="s">
        <v>531</v>
      </c>
      <c r="J45" s="171">
        <v>14</v>
      </c>
      <c r="K45" s="267"/>
      <c r="L45" s="256"/>
      <c r="M45" s="268"/>
      <c r="N45" s="269"/>
      <c r="O45" s="255"/>
      <c r="P45" s="256"/>
      <c r="Q45" s="268"/>
      <c r="R45" s="269"/>
      <c r="S45" s="255">
        <v>6</v>
      </c>
      <c r="T45" s="256"/>
      <c r="U45" s="268">
        <v>8</v>
      </c>
      <c r="V45" s="274"/>
      <c r="W45" s="387">
        <f t="shared" si="3"/>
        <v>14</v>
      </c>
      <c r="X45" s="388"/>
      <c r="Y45" s="357"/>
    </row>
    <row r="46" spans="2:25" ht="20.25" customHeight="1">
      <c r="B46" s="248" t="s">
        <v>537</v>
      </c>
      <c r="C46" s="223" t="s">
        <v>533</v>
      </c>
      <c r="D46" s="68" t="s">
        <v>525</v>
      </c>
      <c r="E46" s="69" t="s">
        <v>355</v>
      </c>
      <c r="F46" s="258" t="s">
        <v>680</v>
      </c>
      <c r="G46" s="259"/>
      <c r="H46" s="172">
        <v>3</v>
      </c>
      <c r="I46" s="173" t="s">
        <v>531</v>
      </c>
      <c r="J46" s="275">
        <v>3</v>
      </c>
      <c r="K46" s="260"/>
      <c r="L46" s="261"/>
      <c r="M46" s="262"/>
      <c r="N46" s="263"/>
      <c r="O46" s="233">
        <v>3</v>
      </c>
      <c r="P46" s="234"/>
      <c r="Q46" s="237"/>
      <c r="R46" s="242"/>
      <c r="S46" s="289"/>
      <c r="T46" s="261"/>
      <c r="U46" s="237"/>
      <c r="V46" s="238"/>
      <c r="W46" s="211">
        <f>SUM(O46:R49)</f>
        <v>6</v>
      </c>
      <c r="X46" s="212"/>
      <c r="Y46" s="357"/>
    </row>
    <row r="47" spans="2:25" ht="20.25" customHeight="1">
      <c r="B47" s="249"/>
      <c r="C47" s="224"/>
      <c r="D47" s="66" t="s">
        <v>525</v>
      </c>
      <c r="E47" s="65" t="s">
        <v>532</v>
      </c>
      <c r="F47" s="221" t="s">
        <v>681</v>
      </c>
      <c r="G47" s="222"/>
      <c r="H47" s="168">
        <v>3</v>
      </c>
      <c r="I47" s="166" t="s">
        <v>531</v>
      </c>
      <c r="J47" s="276"/>
      <c r="K47" s="267"/>
      <c r="L47" s="256"/>
      <c r="M47" s="268"/>
      <c r="N47" s="269"/>
      <c r="O47" s="230"/>
      <c r="P47" s="220"/>
      <c r="Q47" s="217"/>
      <c r="R47" s="218"/>
      <c r="S47" s="255"/>
      <c r="T47" s="256"/>
      <c r="U47" s="217"/>
      <c r="V47" s="239"/>
      <c r="W47" s="213"/>
      <c r="X47" s="214"/>
      <c r="Y47" s="357"/>
    </row>
    <row r="48" spans="2:25" ht="20.25" customHeight="1">
      <c r="B48" s="249"/>
      <c r="C48" s="225" t="s">
        <v>534</v>
      </c>
      <c r="D48" s="66" t="s">
        <v>525</v>
      </c>
      <c r="E48" s="65" t="s">
        <v>355</v>
      </c>
      <c r="F48" s="221" t="s">
        <v>536</v>
      </c>
      <c r="G48" s="222"/>
      <c r="H48" s="168">
        <v>3</v>
      </c>
      <c r="I48" s="166" t="s">
        <v>531</v>
      </c>
      <c r="J48" s="228">
        <v>3</v>
      </c>
      <c r="K48" s="219"/>
      <c r="L48" s="220"/>
      <c r="M48" s="217"/>
      <c r="N48" s="218"/>
      <c r="O48" s="230"/>
      <c r="P48" s="220"/>
      <c r="Q48" s="217">
        <v>3</v>
      </c>
      <c r="R48" s="218"/>
      <c r="S48" s="230"/>
      <c r="T48" s="220"/>
      <c r="U48" s="217"/>
      <c r="V48" s="239"/>
      <c r="W48" s="213"/>
      <c r="X48" s="214"/>
      <c r="Y48" s="357"/>
    </row>
    <row r="49" spans="2:29" ht="20.25" customHeight="1" thickBot="1">
      <c r="B49" s="250"/>
      <c r="C49" s="226"/>
      <c r="D49" s="71" t="s">
        <v>525</v>
      </c>
      <c r="E49" s="70" t="s">
        <v>355</v>
      </c>
      <c r="F49" s="246" t="s">
        <v>682</v>
      </c>
      <c r="G49" s="247"/>
      <c r="H49" s="160">
        <v>3</v>
      </c>
      <c r="I49" s="161" t="s">
        <v>531</v>
      </c>
      <c r="J49" s="229"/>
      <c r="K49" s="245"/>
      <c r="L49" s="232"/>
      <c r="M49" s="240"/>
      <c r="N49" s="257"/>
      <c r="O49" s="231"/>
      <c r="P49" s="232"/>
      <c r="Q49" s="240"/>
      <c r="R49" s="257"/>
      <c r="S49" s="231"/>
      <c r="T49" s="232"/>
      <c r="U49" s="240"/>
      <c r="V49" s="241"/>
      <c r="W49" s="215"/>
      <c r="X49" s="216"/>
      <c r="Y49" s="357"/>
    </row>
    <row r="50" spans="2:29" ht="20.25" customHeight="1">
      <c r="B50" s="249" t="s">
        <v>538</v>
      </c>
      <c r="C50" s="223" t="s">
        <v>533</v>
      </c>
      <c r="D50" s="68" t="s">
        <v>525</v>
      </c>
      <c r="E50" s="69" t="s">
        <v>529</v>
      </c>
      <c r="F50" s="360" t="s">
        <v>535</v>
      </c>
      <c r="G50" s="361"/>
      <c r="H50" s="172">
        <v>3</v>
      </c>
      <c r="I50" s="173" t="s">
        <v>531</v>
      </c>
      <c r="J50" s="159">
        <v>14</v>
      </c>
      <c r="K50" s="364"/>
      <c r="L50" s="234"/>
      <c r="M50" s="237"/>
      <c r="N50" s="242"/>
      <c r="O50" s="233"/>
      <c r="P50" s="234"/>
      <c r="Q50" s="237"/>
      <c r="R50" s="242"/>
      <c r="S50" s="233">
        <v>6</v>
      </c>
      <c r="T50" s="234"/>
      <c r="U50" s="237">
        <v>8</v>
      </c>
      <c r="V50" s="238"/>
      <c r="W50" s="213">
        <f>SUM(S50:V51)</f>
        <v>28</v>
      </c>
      <c r="X50" s="214"/>
      <c r="Y50" s="357"/>
    </row>
    <row r="51" spans="2:29" ht="20.25" customHeight="1">
      <c r="B51" s="249"/>
      <c r="C51" s="224"/>
      <c r="D51" s="66" t="s">
        <v>525</v>
      </c>
      <c r="E51" s="65" t="s">
        <v>529</v>
      </c>
      <c r="F51" s="362" t="s">
        <v>683</v>
      </c>
      <c r="G51" s="363"/>
      <c r="H51" s="168">
        <v>3</v>
      </c>
      <c r="I51" s="166" t="s">
        <v>531</v>
      </c>
      <c r="J51" s="165">
        <v>14</v>
      </c>
      <c r="K51" s="365"/>
      <c r="L51" s="220"/>
      <c r="M51" s="217"/>
      <c r="N51" s="218"/>
      <c r="O51" s="230"/>
      <c r="P51" s="220"/>
      <c r="Q51" s="217"/>
      <c r="R51" s="218"/>
      <c r="S51" s="230">
        <v>6</v>
      </c>
      <c r="T51" s="220"/>
      <c r="U51" s="217">
        <v>8</v>
      </c>
      <c r="V51" s="239"/>
      <c r="W51" s="213"/>
      <c r="X51" s="214"/>
      <c r="Y51" s="357"/>
    </row>
    <row r="52" spans="2:29" ht="20.25" customHeight="1">
      <c r="B52" s="249"/>
      <c r="C52" s="227" t="s">
        <v>534</v>
      </c>
      <c r="D52" s="66" t="s">
        <v>525</v>
      </c>
      <c r="E52" s="65" t="s">
        <v>529</v>
      </c>
      <c r="F52" s="221" t="s">
        <v>684</v>
      </c>
      <c r="G52" s="222"/>
      <c r="H52" s="168">
        <v>3</v>
      </c>
      <c r="I52" s="166" t="s">
        <v>531</v>
      </c>
      <c r="J52" s="167">
        <v>14</v>
      </c>
      <c r="K52" s="366"/>
      <c r="L52" s="244"/>
      <c r="M52" s="253"/>
      <c r="N52" s="254"/>
      <c r="O52" s="243"/>
      <c r="P52" s="244"/>
      <c r="Q52" s="253"/>
      <c r="R52" s="254"/>
      <c r="S52" s="243">
        <v>6</v>
      </c>
      <c r="T52" s="244"/>
      <c r="U52" s="217">
        <v>8</v>
      </c>
      <c r="V52" s="239"/>
      <c r="W52" s="213"/>
      <c r="X52" s="214"/>
      <c r="Y52" s="357"/>
    </row>
    <row r="53" spans="2:29" ht="20.25" customHeight="1" thickBot="1">
      <c r="B53" s="250"/>
      <c r="C53" s="226"/>
      <c r="D53" s="71" t="s">
        <v>525</v>
      </c>
      <c r="E53" s="70" t="s">
        <v>529</v>
      </c>
      <c r="F53" s="246" t="s">
        <v>685</v>
      </c>
      <c r="G53" s="247"/>
      <c r="H53" s="160">
        <v>3</v>
      </c>
      <c r="I53" s="161" t="s">
        <v>531</v>
      </c>
      <c r="J53" s="162">
        <v>14</v>
      </c>
      <c r="K53" s="264"/>
      <c r="L53" s="236"/>
      <c r="M53" s="251"/>
      <c r="N53" s="252"/>
      <c r="O53" s="235"/>
      <c r="P53" s="236"/>
      <c r="Q53" s="251"/>
      <c r="R53" s="252"/>
      <c r="S53" s="235">
        <v>6</v>
      </c>
      <c r="T53" s="236"/>
      <c r="U53" s="240">
        <v>8</v>
      </c>
      <c r="V53" s="241"/>
      <c r="W53" s="215"/>
      <c r="X53" s="216"/>
      <c r="Y53" s="357"/>
    </row>
    <row r="54" spans="2:29" ht="24.75" customHeight="1">
      <c r="B54" s="326" t="s">
        <v>361</v>
      </c>
      <c r="C54" s="322"/>
      <c r="D54" s="322"/>
      <c r="E54" s="322"/>
      <c r="F54" s="322"/>
      <c r="G54" s="327"/>
      <c r="H54" s="367">
        <f>SUM(H33:H49)</f>
        <v>50</v>
      </c>
      <c r="I54" s="369">
        <f>SUM(I33:I45)</f>
        <v>0</v>
      </c>
      <c r="J54" s="371">
        <f>SUM(J33:J51)</f>
        <v>110</v>
      </c>
      <c r="K54" s="326">
        <f>SUM(K33:L53)</f>
        <v>12</v>
      </c>
      <c r="L54" s="323"/>
      <c r="M54" s="332">
        <f>SUM(M33:N53)</f>
        <v>12</v>
      </c>
      <c r="N54" s="322"/>
      <c r="O54" s="334">
        <f>SUM(O33:P53)</f>
        <v>15</v>
      </c>
      <c r="P54" s="323"/>
      <c r="Q54" s="332">
        <f>SUM(Q33:R53)</f>
        <v>16</v>
      </c>
      <c r="R54" s="373"/>
      <c r="S54" s="322">
        <f>SUM(S33:T51)</f>
        <v>27</v>
      </c>
      <c r="T54" s="323"/>
      <c r="U54" s="332">
        <f>SUM(U33:V51)</f>
        <v>28</v>
      </c>
      <c r="V54" s="327"/>
      <c r="W54" s="326">
        <f>SUM(K54:V55)</f>
        <v>110</v>
      </c>
      <c r="X54" s="327"/>
      <c r="Y54" s="330">
        <f>SUM(Y33:Y53)</f>
        <v>80</v>
      </c>
      <c r="AC54" s="34"/>
    </row>
    <row r="55" spans="2:29" ht="18" thickBot="1">
      <c r="B55" s="328"/>
      <c r="C55" s="324"/>
      <c r="D55" s="324"/>
      <c r="E55" s="324"/>
      <c r="F55" s="324"/>
      <c r="G55" s="329"/>
      <c r="H55" s="368"/>
      <c r="I55" s="370"/>
      <c r="J55" s="372"/>
      <c r="K55" s="328"/>
      <c r="L55" s="325"/>
      <c r="M55" s="333"/>
      <c r="N55" s="324"/>
      <c r="O55" s="335"/>
      <c r="P55" s="325"/>
      <c r="Q55" s="333"/>
      <c r="R55" s="374"/>
      <c r="S55" s="324"/>
      <c r="T55" s="325"/>
      <c r="U55" s="333"/>
      <c r="V55" s="329"/>
      <c r="W55" s="328"/>
      <c r="X55" s="329"/>
      <c r="Y55" s="331"/>
      <c r="AC55" s="72"/>
    </row>
    <row r="56" spans="2:29" ht="17.25" customHeight="1" thickBot="1">
      <c r="B56" s="277"/>
      <c r="C56" s="278"/>
      <c r="D56" s="278"/>
      <c r="E56" s="278"/>
      <c r="F56" s="278"/>
      <c r="G56" s="279"/>
      <c r="H56" s="35">
        <f>SUM(H32,H54)</f>
        <v>131</v>
      </c>
      <c r="I56" s="36">
        <f>SUM(I32,I54)</f>
        <v>0</v>
      </c>
      <c r="J56" s="38">
        <f>SUM(J32,J54)</f>
        <v>174</v>
      </c>
      <c r="K56" s="277">
        <f>SUM(K32,K54)</f>
        <v>29</v>
      </c>
      <c r="L56" s="320"/>
      <c r="M56" s="321">
        <f>SUM(M32,M54)</f>
        <v>29</v>
      </c>
      <c r="N56" s="298"/>
      <c r="O56" s="299">
        <f>SUM(O32,O54)</f>
        <v>30</v>
      </c>
      <c r="P56" s="320"/>
      <c r="Q56" s="321">
        <f>SUM(Q32,Q54)</f>
        <v>30</v>
      </c>
      <c r="R56" s="298"/>
      <c r="S56" s="299">
        <f>SUM(S32,S54)</f>
        <v>28</v>
      </c>
      <c r="T56" s="320"/>
      <c r="U56" s="321">
        <f>SUM(U32,U54)</f>
        <v>28</v>
      </c>
      <c r="V56" s="279"/>
      <c r="W56" s="277">
        <f>SUM(K56:V56)</f>
        <v>174</v>
      </c>
      <c r="X56" s="279"/>
      <c r="Y56" s="10">
        <f>Y54+Y32</f>
        <v>144</v>
      </c>
      <c r="AA56" s="300" t="s">
        <v>153</v>
      </c>
      <c r="AB56" s="300"/>
    </row>
    <row r="57" spans="2:29" ht="18.75" customHeight="1" thickBot="1">
      <c r="B57" s="337" t="s">
        <v>362</v>
      </c>
      <c r="C57" s="338"/>
      <c r="D57" s="338"/>
      <c r="E57" s="339"/>
      <c r="F57" s="346" t="s">
        <v>358</v>
      </c>
      <c r="G57" s="347"/>
      <c r="H57" s="347"/>
      <c r="I57" s="347"/>
      <c r="J57" s="348"/>
      <c r="K57" s="349">
        <v>16</v>
      </c>
      <c r="L57" s="350"/>
      <c r="M57" s="351">
        <v>16</v>
      </c>
      <c r="N57" s="352"/>
      <c r="O57" s="353">
        <v>8</v>
      </c>
      <c r="P57" s="350"/>
      <c r="Q57" s="351">
        <v>8</v>
      </c>
      <c r="R57" s="352"/>
      <c r="S57" s="353">
        <v>24</v>
      </c>
      <c r="T57" s="350"/>
      <c r="U57" s="351">
        <v>24</v>
      </c>
      <c r="V57" s="354"/>
      <c r="W57" s="337">
        <f>SUM(K57:V59)</f>
        <v>288</v>
      </c>
      <c r="X57" s="339"/>
      <c r="Y57" s="330">
        <f>Y60*16</f>
        <v>288</v>
      </c>
      <c r="AA57" s="336"/>
      <c r="AB57" s="336"/>
    </row>
    <row r="58" spans="2:29" ht="17.25" customHeight="1" thickBot="1">
      <c r="B58" s="340"/>
      <c r="C58" s="341"/>
      <c r="D58" s="341"/>
      <c r="E58" s="342"/>
      <c r="F58" s="314" t="s">
        <v>63</v>
      </c>
      <c r="G58" s="315"/>
      <c r="H58" s="315"/>
      <c r="I58" s="315"/>
      <c r="J58" s="316"/>
      <c r="K58" s="317">
        <v>16</v>
      </c>
      <c r="L58" s="311"/>
      <c r="M58" s="318">
        <v>16</v>
      </c>
      <c r="N58" s="319"/>
      <c r="O58" s="310">
        <v>16</v>
      </c>
      <c r="P58" s="311"/>
      <c r="Q58" s="318">
        <v>16</v>
      </c>
      <c r="R58" s="319"/>
      <c r="S58" s="310">
        <v>16</v>
      </c>
      <c r="T58" s="311"/>
      <c r="U58" s="318">
        <v>16</v>
      </c>
      <c r="V58" s="359"/>
      <c r="W58" s="340"/>
      <c r="X58" s="342"/>
      <c r="Y58" s="357"/>
      <c r="AA58" s="312" t="b">
        <f>W56&gt;=Y56</f>
        <v>1</v>
      </c>
      <c r="AB58" s="313"/>
    </row>
    <row r="59" spans="2:29" ht="17.25" customHeight="1">
      <c r="B59" s="340"/>
      <c r="C59" s="341"/>
      <c r="D59" s="341"/>
      <c r="E59" s="342"/>
      <c r="F59" s="314" t="s">
        <v>11</v>
      </c>
      <c r="G59" s="315"/>
      <c r="H59" s="315"/>
      <c r="I59" s="315"/>
      <c r="J59" s="316"/>
      <c r="K59" s="317">
        <v>16</v>
      </c>
      <c r="L59" s="311"/>
      <c r="M59" s="318">
        <v>16</v>
      </c>
      <c r="N59" s="319"/>
      <c r="O59" s="310">
        <v>8</v>
      </c>
      <c r="P59" s="311"/>
      <c r="Q59" s="318">
        <v>8</v>
      </c>
      <c r="R59" s="319"/>
      <c r="S59" s="310">
        <v>24</v>
      </c>
      <c r="T59" s="311"/>
      <c r="U59" s="318">
        <v>24</v>
      </c>
      <c r="V59" s="359"/>
      <c r="W59" s="355"/>
      <c r="X59" s="356"/>
      <c r="Y59" s="358"/>
    </row>
    <row r="60" spans="2:29" ht="17.25" customHeight="1" thickBot="1">
      <c r="B60" s="343"/>
      <c r="C60" s="344"/>
      <c r="D60" s="344"/>
      <c r="E60" s="345"/>
      <c r="F60" s="301" t="s">
        <v>149</v>
      </c>
      <c r="G60" s="302"/>
      <c r="H60" s="302"/>
      <c r="I60" s="302"/>
      <c r="J60" s="303"/>
      <c r="K60" s="304">
        <v>3</v>
      </c>
      <c r="L60" s="305"/>
      <c r="M60" s="306">
        <v>3</v>
      </c>
      <c r="N60" s="307"/>
      <c r="O60" s="308">
        <v>3</v>
      </c>
      <c r="P60" s="305"/>
      <c r="Q60" s="306">
        <v>3</v>
      </c>
      <c r="R60" s="307"/>
      <c r="S60" s="308">
        <v>3</v>
      </c>
      <c r="T60" s="305"/>
      <c r="U60" s="306">
        <v>3</v>
      </c>
      <c r="V60" s="309"/>
      <c r="W60" s="301">
        <f>SUM(K60:V60)</f>
        <v>18</v>
      </c>
      <c r="X60" s="303"/>
      <c r="Y60" s="73">
        <v>18</v>
      </c>
      <c r="AA60" s="300" t="s">
        <v>154</v>
      </c>
      <c r="AB60" s="300"/>
    </row>
    <row r="61" spans="2:29" ht="17.25" customHeight="1" thickBot="1">
      <c r="B61" s="277"/>
      <c r="C61" s="278"/>
      <c r="D61" s="278"/>
      <c r="E61" s="278"/>
      <c r="F61" s="278"/>
      <c r="G61" s="278"/>
      <c r="H61" s="278"/>
      <c r="I61" s="278"/>
      <c r="J61" s="279"/>
      <c r="K61" s="277">
        <v>32</v>
      </c>
      <c r="L61" s="320"/>
      <c r="M61" s="321">
        <v>32</v>
      </c>
      <c r="N61" s="298"/>
      <c r="O61" s="299">
        <v>32</v>
      </c>
      <c r="P61" s="320"/>
      <c r="Q61" s="321">
        <v>32</v>
      </c>
      <c r="R61" s="298"/>
      <c r="S61" s="299">
        <v>32</v>
      </c>
      <c r="T61" s="320"/>
      <c r="U61" s="321">
        <v>32</v>
      </c>
      <c r="V61" s="279"/>
      <c r="W61" s="277">
        <f>SUM(K61:V61)</f>
        <v>192</v>
      </c>
      <c r="X61" s="279"/>
      <c r="Y61" s="39">
        <f>W61</f>
        <v>192</v>
      </c>
      <c r="AA61" s="312" t="b">
        <f>W60&gt;=Y60</f>
        <v>1</v>
      </c>
      <c r="AB61" s="313"/>
    </row>
    <row r="62" spans="2:29" ht="17.25" customHeight="1" thickBot="1">
      <c r="B62" s="277"/>
      <c r="C62" s="278"/>
      <c r="D62" s="278"/>
      <c r="E62" s="278"/>
      <c r="F62" s="278"/>
      <c r="G62" s="278"/>
      <c r="H62" s="278"/>
      <c r="I62" s="278"/>
      <c r="J62" s="279"/>
      <c r="K62" s="277">
        <f>SUM(K61:N61)</f>
        <v>64</v>
      </c>
      <c r="L62" s="278"/>
      <c r="M62" s="278"/>
      <c r="N62" s="298"/>
      <c r="O62" s="299">
        <f>SUM(O61:R61)</f>
        <v>64</v>
      </c>
      <c r="P62" s="278"/>
      <c r="Q62" s="278"/>
      <c r="R62" s="298"/>
      <c r="S62" s="299">
        <f>SUM(S61:V61)</f>
        <v>64</v>
      </c>
      <c r="T62" s="278"/>
      <c r="U62" s="278"/>
      <c r="V62" s="279"/>
      <c r="W62" s="277">
        <f>SUM(K62:V62)</f>
        <v>192</v>
      </c>
      <c r="X62" s="279"/>
      <c r="Y62" s="10"/>
      <c r="AA62" s="300" t="s">
        <v>151</v>
      </c>
      <c r="AB62" s="300"/>
    </row>
    <row r="63" spans="2:29" ht="17.25" customHeight="1" thickBot="1">
      <c r="AA63" s="312" t="b">
        <f>W61&gt;=Y61</f>
        <v>1</v>
      </c>
      <c r="AB63" s="313"/>
    </row>
    <row r="64" spans="2:29" ht="17.25" customHeight="1"/>
    <row r="65" ht="17.25" customHeight="1"/>
    <row r="66" ht="17.25" customHeight="1"/>
    <row r="68" ht="24.9" customHeight="1"/>
    <row r="69" ht="24.9" customHeight="1"/>
    <row r="70" ht="32.25" customHeight="1"/>
    <row r="71" ht="24.9" customHeight="1"/>
    <row r="73" ht="16.5" customHeight="1"/>
    <row r="74" ht="17.2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244.5" customHeight="1"/>
  </sheetData>
  <mergeCells count="478">
    <mergeCell ref="AB14:AD14"/>
    <mergeCell ref="B57:E60"/>
    <mergeCell ref="F34:G34"/>
    <mergeCell ref="D34:E34"/>
    <mergeCell ref="K34:L34"/>
    <mergeCell ref="W34:X34"/>
    <mergeCell ref="F31:G31"/>
    <mergeCell ref="K31:L31"/>
    <mergeCell ref="M31:N31"/>
    <mergeCell ref="S31:T31"/>
    <mergeCell ref="U31:V31"/>
    <mergeCell ref="M34:N34"/>
    <mergeCell ref="O34:P34"/>
    <mergeCell ref="Q34:R34"/>
    <mergeCell ref="S34:T34"/>
    <mergeCell ref="U34:V34"/>
    <mergeCell ref="X12:X13"/>
    <mergeCell ref="X14:X16"/>
    <mergeCell ref="Q40:R40"/>
    <mergeCell ref="S40:T40"/>
    <mergeCell ref="S36:T36"/>
    <mergeCell ref="Q41:R41"/>
    <mergeCell ref="Q35:R35"/>
    <mergeCell ref="O37:P37"/>
    <mergeCell ref="O38:P38"/>
    <mergeCell ref="S37:T37"/>
    <mergeCell ref="U37:V37"/>
    <mergeCell ref="U12:V12"/>
    <mergeCell ref="U28:V28"/>
    <mergeCell ref="M11:N11"/>
    <mergeCell ref="O11:P11"/>
    <mergeCell ref="Q11:R11"/>
    <mergeCell ref="S11:T11"/>
    <mergeCell ref="U11:V11"/>
    <mergeCell ref="Q27:R27"/>
    <mergeCell ref="S27:T27"/>
    <mergeCell ref="U27:V27"/>
    <mergeCell ref="M26:N26"/>
    <mergeCell ref="O26:P26"/>
    <mergeCell ref="Q26:R26"/>
    <mergeCell ref="S26:T26"/>
    <mergeCell ref="U26:V26"/>
    <mergeCell ref="M25:N25"/>
    <mergeCell ref="Y23:Y27"/>
    <mergeCell ref="M30:N30"/>
    <mergeCell ref="M32:N32"/>
    <mergeCell ref="O32:P32"/>
    <mergeCell ref="M33:N33"/>
    <mergeCell ref="O33:P33"/>
    <mergeCell ref="M36:N36"/>
    <mergeCell ref="Q33:R33"/>
    <mergeCell ref="S33:T33"/>
    <mergeCell ref="U33:V33"/>
    <mergeCell ref="W33:X33"/>
    <mergeCell ref="U36:V36"/>
    <mergeCell ref="W36:X36"/>
    <mergeCell ref="Q36:R36"/>
    <mergeCell ref="O36:P36"/>
    <mergeCell ref="O24:P24"/>
    <mergeCell ref="Q24:R24"/>
    <mergeCell ref="S24:T24"/>
    <mergeCell ref="U24:V24"/>
    <mergeCell ref="M27:N27"/>
    <mergeCell ref="O27:P27"/>
    <mergeCell ref="W28:X29"/>
    <mergeCell ref="X2:Y2"/>
    <mergeCell ref="B2:U2"/>
    <mergeCell ref="V2:W2"/>
    <mergeCell ref="AA2:AA5"/>
    <mergeCell ref="U41:V41"/>
    <mergeCell ref="W41:X41"/>
    <mergeCell ref="W40:X40"/>
    <mergeCell ref="M39:N39"/>
    <mergeCell ref="O39:P39"/>
    <mergeCell ref="M40:N40"/>
    <mergeCell ref="O40:P40"/>
    <mergeCell ref="Q39:R39"/>
    <mergeCell ref="S39:T39"/>
    <mergeCell ref="Q30:R30"/>
    <mergeCell ref="S30:T30"/>
    <mergeCell ref="U30:V30"/>
    <mergeCell ref="U13:V13"/>
    <mergeCell ref="M10:N10"/>
    <mergeCell ref="O10:P10"/>
    <mergeCell ref="Q8:R8"/>
    <mergeCell ref="S8:T8"/>
    <mergeCell ref="U8:V8"/>
    <mergeCell ref="Q10:R10"/>
    <mergeCell ref="S10:T10"/>
    <mergeCell ref="Y17:Y18"/>
    <mergeCell ref="AA18:AB18"/>
    <mergeCell ref="M17:N17"/>
    <mergeCell ref="O17:P17"/>
    <mergeCell ref="Q17:R17"/>
    <mergeCell ref="S17:T17"/>
    <mergeCell ref="U17:V17"/>
    <mergeCell ref="M16:N16"/>
    <mergeCell ref="O16:P16"/>
    <mergeCell ref="Q16:R16"/>
    <mergeCell ref="S16:T16"/>
    <mergeCell ref="U16:V16"/>
    <mergeCell ref="Y9:Y16"/>
    <mergeCell ref="M15:N15"/>
    <mergeCell ref="O15:P15"/>
    <mergeCell ref="Q15:R15"/>
    <mergeCell ref="S15:T15"/>
    <mergeCell ref="U15:V15"/>
    <mergeCell ref="M14:N14"/>
    <mergeCell ref="O14:P14"/>
    <mergeCell ref="Q14:R14"/>
    <mergeCell ref="S14:T14"/>
    <mergeCell ref="U14:V14"/>
    <mergeCell ref="M9:N9"/>
    <mergeCell ref="Y19:Y22"/>
    <mergeCell ref="M20:N20"/>
    <mergeCell ref="O20:P20"/>
    <mergeCell ref="Q20:R20"/>
    <mergeCell ref="S20:T20"/>
    <mergeCell ref="U20:V20"/>
    <mergeCell ref="M19:N19"/>
    <mergeCell ref="O19:P19"/>
    <mergeCell ref="Q19:R19"/>
    <mergeCell ref="S19:T19"/>
    <mergeCell ref="U19:V19"/>
    <mergeCell ref="S21:T21"/>
    <mergeCell ref="U21:V21"/>
    <mergeCell ref="S22:T22"/>
    <mergeCell ref="U22:V22"/>
    <mergeCell ref="X21:X22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F13:G13"/>
    <mergeCell ref="K13:L13"/>
    <mergeCell ref="X9:X11"/>
    <mergeCell ref="O9:P9"/>
    <mergeCell ref="Q9:R9"/>
    <mergeCell ref="S9:T9"/>
    <mergeCell ref="U9:V9"/>
    <mergeCell ref="M13:N13"/>
    <mergeCell ref="O13:P13"/>
    <mergeCell ref="Q13:R13"/>
    <mergeCell ref="S13:T13"/>
    <mergeCell ref="F9:G9"/>
    <mergeCell ref="K9:L9"/>
    <mergeCell ref="F10:G10"/>
    <mergeCell ref="K10:L10"/>
    <mergeCell ref="F11:G11"/>
    <mergeCell ref="K11:L11"/>
    <mergeCell ref="F12:G12"/>
    <mergeCell ref="K12:L12"/>
    <mergeCell ref="U10:V10"/>
    <mergeCell ref="M12:N12"/>
    <mergeCell ref="O12:P12"/>
    <mergeCell ref="Q12:R12"/>
    <mergeCell ref="S12:T12"/>
    <mergeCell ref="F15:G15"/>
    <mergeCell ref="K15:L15"/>
    <mergeCell ref="F16:G16"/>
    <mergeCell ref="K16:L16"/>
    <mergeCell ref="D17:D20"/>
    <mergeCell ref="F17:G17"/>
    <mergeCell ref="K17:L17"/>
    <mergeCell ref="X17:X18"/>
    <mergeCell ref="F18:G18"/>
    <mergeCell ref="K18:L18"/>
    <mergeCell ref="F19:G19"/>
    <mergeCell ref="K19:L19"/>
    <mergeCell ref="X19:X20"/>
    <mergeCell ref="F20:G20"/>
    <mergeCell ref="K20:L20"/>
    <mergeCell ref="U18:V18"/>
    <mergeCell ref="M18:N18"/>
    <mergeCell ref="O18:P18"/>
    <mergeCell ref="S18:T18"/>
    <mergeCell ref="Q18:R18"/>
    <mergeCell ref="D14:D16"/>
    <mergeCell ref="F14:G14"/>
    <mergeCell ref="K14:L14"/>
    <mergeCell ref="K22:L22"/>
    <mergeCell ref="D23:D27"/>
    <mergeCell ref="F23:G23"/>
    <mergeCell ref="K23:L23"/>
    <mergeCell ref="X23:X27"/>
    <mergeCell ref="F24:G24"/>
    <mergeCell ref="K24:L24"/>
    <mergeCell ref="F25:G25"/>
    <mergeCell ref="K25:L25"/>
    <mergeCell ref="F26:G26"/>
    <mergeCell ref="K26:L26"/>
    <mergeCell ref="F27:G27"/>
    <mergeCell ref="K27:L27"/>
    <mergeCell ref="O25:P25"/>
    <mergeCell ref="Q25:R25"/>
    <mergeCell ref="S25:T25"/>
    <mergeCell ref="U25:V25"/>
    <mergeCell ref="M23:N23"/>
    <mergeCell ref="O23:P23"/>
    <mergeCell ref="Q23:R23"/>
    <mergeCell ref="S23:T23"/>
    <mergeCell ref="U23:V23"/>
    <mergeCell ref="M24:N24"/>
    <mergeCell ref="M41:N41"/>
    <mergeCell ref="O41:P41"/>
    <mergeCell ref="U39:V39"/>
    <mergeCell ref="W39:X39"/>
    <mergeCell ref="U40:V40"/>
    <mergeCell ref="M37:N37"/>
    <mergeCell ref="M38:N38"/>
    <mergeCell ref="Y28:Y29"/>
    <mergeCell ref="F29:G29"/>
    <mergeCell ref="K29:L29"/>
    <mergeCell ref="F30:G30"/>
    <mergeCell ref="K30:L30"/>
    <mergeCell ref="W30:X31"/>
    <mergeCell ref="Y30:Y31"/>
    <mergeCell ref="O29:P29"/>
    <mergeCell ref="Q29:R29"/>
    <mergeCell ref="S29:T29"/>
    <mergeCell ref="U29:V29"/>
    <mergeCell ref="M28:N28"/>
    <mergeCell ref="O28:P28"/>
    <mergeCell ref="Q28:R28"/>
    <mergeCell ref="S28:T28"/>
    <mergeCell ref="W45:X45"/>
    <mergeCell ref="Q32:R32"/>
    <mergeCell ref="S32:T32"/>
    <mergeCell ref="U32:V32"/>
    <mergeCell ref="W32:X32"/>
    <mergeCell ref="W38:X38"/>
    <mergeCell ref="S41:T41"/>
    <mergeCell ref="W42:X42"/>
    <mergeCell ref="W43:X43"/>
    <mergeCell ref="W44:X44"/>
    <mergeCell ref="U44:V44"/>
    <mergeCell ref="S44:T44"/>
    <mergeCell ref="Q44:R44"/>
    <mergeCell ref="Q45:R45"/>
    <mergeCell ref="W37:X37"/>
    <mergeCell ref="Q37:R37"/>
    <mergeCell ref="Q38:R38"/>
    <mergeCell ref="S38:T38"/>
    <mergeCell ref="U38:V38"/>
    <mergeCell ref="Q42:R42"/>
    <mergeCell ref="Q43:R43"/>
    <mergeCell ref="S42:T42"/>
    <mergeCell ref="S43:T43"/>
    <mergeCell ref="U42:V42"/>
    <mergeCell ref="AA32:AB32"/>
    <mergeCell ref="B33:C45"/>
    <mergeCell ref="F33:G33"/>
    <mergeCell ref="K33:L33"/>
    <mergeCell ref="Y33:Y53"/>
    <mergeCell ref="F36:G36"/>
    <mergeCell ref="K36:L36"/>
    <mergeCell ref="F37:G37"/>
    <mergeCell ref="K37:L37"/>
    <mergeCell ref="F38:G38"/>
    <mergeCell ref="K38:L38"/>
    <mergeCell ref="F39:G39"/>
    <mergeCell ref="K39:L39"/>
    <mergeCell ref="F40:G40"/>
    <mergeCell ref="K40:L40"/>
    <mergeCell ref="F41:G41"/>
    <mergeCell ref="K41:L41"/>
    <mergeCell ref="F45:G45"/>
    <mergeCell ref="K45:L45"/>
    <mergeCell ref="M45:N45"/>
    <mergeCell ref="S46:T46"/>
    <mergeCell ref="S35:T35"/>
    <mergeCell ref="U35:V35"/>
    <mergeCell ref="W35:X35"/>
    <mergeCell ref="Q56:R56"/>
    <mergeCell ref="B54:G55"/>
    <mergeCell ref="F50:G50"/>
    <mergeCell ref="F51:G51"/>
    <mergeCell ref="F52:G52"/>
    <mergeCell ref="K50:L50"/>
    <mergeCell ref="K51:L51"/>
    <mergeCell ref="K52:L52"/>
    <mergeCell ref="M52:N52"/>
    <mergeCell ref="M51:N51"/>
    <mergeCell ref="M50:N50"/>
    <mergeCell ref="H54:H55"/>
    <mergeCell ref="I54:I55"/>
    <mergeCell ref="J54:J55"/>
    <mergeCell ref="K54:L55"/>
    <mergeCell ref="M54:N55"/>
    <mergeCell ref="Q54:R55"/>
    <mergeCell ref="AA56:AB57"/>
    <mergeCell ref="F57:J57"/>
    <mergeCell ref="K57:L57"/>
    <mergeCell ref="M57:N57"/>
    <mergeCell ref="O57:P57"/>
    <mergeCell ref="Q57:R57"/>
    <mergeCell ref="S57:T57"/>
    <mergeCell ref="U57:V57"/>
    <mergeCell ref="W57:X59"/>
    <mergeCell ref="Y57:Y59"/>
    <mergeCell ref="F58:J58"/>
    <mergeCell ref="K58:L58"/>
    <mergeCell ref="M58:N58"/>
    <mergeCell ref="O58:P58"/>
    <mergeCell ref="Q58:R58"/>
    <mergeCell ref="O59:P59"/>
    <mergeCell ref="Q59:R59"/>
    <mergeCell ref="S59:T59"/>
    <mergeCell ref="U59:V59"/>
    <mergeCell ref="K56:L56"/>
    <mergeCell ref="M56:N56"/>
    <mergeCell ref="O56:P56"/>
    <mergeCell ref="U58:V58"/>
    <mergeCell ref="AA58:AB58"/>
    <mergeCell ref="F59:J59"/>
    <mergeCell ref="K59:L59"/>
    <mergeCell ref="O44:P44"/>
    <mergeCell ref="M59:N59"/>
    <mergeCell ref="AA63:AB63"/>
    <mergeCell ref="B61:J61"/>
    <mergeCell ref="K61:L61"/>
    <mergeCell ref="M61:N61"/>
    <mergeCell ref="O61:P61"/>
    <mergeCell ref="Q61:R61"/>
    <mergeCell ref="S61:T61"/>
    <mergeCell ref="U61:V61"/>
    <mergeCell ref="W61:X61"/>
    <mergeCell ref="AA61:AB61"/>
    <mergeCell ref="S56:T56"/>
    <mergeCell ref="U56:V56"/>
    <mergeCell ref="S54:T55"/>
    <mergeCell ref="W54:X55"/>
    <mergeCell ref="Y54:Y55"/>
    <mergeCell ref="W56:X56"/>
    <mergeCell ref="U54:V55"/>
    <mergeCell ref="O54:P55"/>
    <mergeCell ref="M49:N49"/>
    <mergeCell ref="D35:E35"/>
    <mergeCell ref="F35:G35"/>
    <mergeCell ref="K35:L35"/>
    <mergeCell ref="M35:N35"/>
    <mergeCell ref="O35:P35"/>
    <mergeCell ref="D33:E33"/>
    <mergeCell ref="AA8:AD8"/>
    <mergeCell ref="B62:J62"/>
    <mergeCell ref="K62:N62"/>
    <mergeCell ref="O62:R62"/>
    <mergeCell ref="S62:V62"/>
    <mergeCell ref="W62:X62"/>
    <mergeCell ref="AA62:AB62"/>
    <mergeCell ref="F60:J60"/>
    <mergeCell ref="K60:L60"/>
    <mergeCell ref="M60:N60"/>
    <mergeCell ref="O60:P60"/>
    <mergeCell ref="Q60:R60"/>
    <mergeCell ref="S60:T60"/>
    <mergeCell ref="U60:V60"/>
    <mergeCell ref="W60:X60"/>
    <mergeCell ref="AA60:AB60"/>
    <mergeCell ref="S58:T58"/>
    <mergeCell ref="B56:G56"/>
    <mergeCell ref="O31:P31"/>
    <mergeCell ref="Q31:R31"/>
    <mergeCell ref="B32:G32"/>
    <mergeCell ref="K32:L32"/>
    <mergeCell ref="B9:C31"/>
    <mergeCell ref="D9:D11"/>
    <mergeCell ref="M22:N22"/>
    <mergeCell ref="O22:P22"/>
    <mergeCell ref="Q22:R22"/>
    <mergeCell ref="M21:N21"/>
    <mergeCell ref="O21:P21"/>
    <mergeCell ref="Q21:R21"/>
    <mergeCell ref="D12:D13"/>
    <mergeCell ref="D21:D22"/>
    <mergeCell ref="F21:G21"/>
    <mergeCell ref="K21:L21"/>
    <mergeCell ref="D28:D29"/>
    <mergeCell ref="F28:G28"/>
    <mergeCell ref="K28:L28"/>
    <mergeCell ref="D30:D31"/>
    <mergeCell ref="M29:N29"/>
    <mergeCell ref="O30:P30"/>
    <mergeCell ref="F22:G22"/>
    <mergeCell ref="U43:V43"/>
    <mergeCell ref="F47:G47"/>
    <mergeCell ref="K47:L47"/>
    <mergeCell ref="M47:N47"/>
    <mergeCell ref="K44:L44"/>
    <mergeCell ref="F44:G44"/>
    <mergeCell ref="F42:G42"/>
    <mergeCell ref="F43:G43"/>
    <mergeCell ref="K42:L42"/>
    <mergeCell ref="K43:L43"/>
    <mergeCell ref="M42:N42"/>
    <mergeCell ref="M43:N43"/>
    <mergeCell ref="O42:P42"/>
    <mergeCell ref="O43:P43"/>
    <mergeCell ref="U45:V45"/>
    <mergeCell ref="S45:T45"/>
    <mergeCell ref="O45:P45"/>
    <mergeCell ref="J46:J47"/>
    <mergeCell ref="M44:N44"/>
    <mergeCell ref="K49:L49"/>
    <mergeCell ref="F49:G49"/>
    <mergeCell ref="U48:V48"/>
    <mergeCell ref="B46:B49"/>
    <mergeCell ref="B50:B53"/>
    <mergeCell ref="S53:T53"/>
    <mergeCell ref="U53:V53"/>
    <mergeCell ref="Q53:R53"/>
    <mergeCell ref="Q51:R51"/>
    <mergeCell ref="Q52:R52"/>
    <mergeCell ref="S47:T47"/>
    <mergeCell ref="S49:T49"/>
    <mergeCell ref="S50:T50"/>
    <mergeCell ref="S51:T51"/>
    <mergeCell ref="S48:T48"/>
    <mergeCell ref="Q48:R49"/>
    <mergeCell ref="Q50:R50"/>
    <mergeCell ref="F46:G46"/>
    <mergeCell ref="K46:L46"/>
    <mergeCell ref="M46:N46"/>
    <mergeCell ref="F53:G53"/>
    <mergeCell ref="K53:L53"/>
    <mergeCell ref="M53:N53"/>
    <mergeCell ref="W46:X49"/>
    <mergeCell ref="W50:X53"/>
    <mergeCell ref="M48:N48"/>
    <mergeCell ref="K48:L48"/>
    <mergeCell ref="F48:G48"/>
    <mergeCell ref="C46:C47"/>
    <mergeCell ref="C48:C49"/>
    <mergeCell ref="C50:C51"/>
    <mergeCell ref="C52:C53"/>
    <mergeCell ref="J48:J49"/>
    <mergeCell ref="O48:P49"/>
    <mergeCell ref="O50:P50"/>
    <mergeCell ref="O51:P51"/>
    <mergeCell ref="O53:P53"/>
    <mergeCell ref="U46:V46"/>
    <mergeCell ref="U47:V47"/>
    <mergeCell ref="U49:V49"/>
    <mergeCell ref="U50:V50"/>
    <mergeCell ref="U51:V51"/>
    <mergeCell ref="U52:V52"/>
    <mergeCell ref="O46:P47"/>
    <mergeCell ref="Q46:R47"/>
    <mergeCell ref="S52:T52"/>
    <mergeCell ref="O52:P52"/>
  </mergeCells>
  <phoneticPr fontId="9" type="noConversion"/>
  <conditionalFormatting sqref="AA32:AB32 AC55 AA58:AB58 AA61:AB61 AA63:AB63">
    <cfRule type="containsText" dxfId="1" priority="1" operator="containsText" text="FALSE">
      <formula>NOT(ISERROR(SEARCH("FALSE",AA32)))</formula>
    </cfRule>
  </conditionalFormatting>
  <printOptions horizontalCentered="1" verticalCentered="1"/>
  <pageMargins left="0.17" right="0.17" top="0.26" bottom="0.17" header="0.3" footer="0.17"/>
  <pageSetup paperSize="9" scale="43" orientation="portrait" cellComments="asDisplayed" r:id="rId1"/>
  <rowBreaks count="1" manualBreakCount="1">
    <brk id="54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44"/>
  <sheetViews>
    <sheetView showGridLines="0" zoomScale="85" zoomScaleNormal="85" zoomScaleSheetLayoutView="90" workbookViewId="0">
      <selection activeCell="G3" sqref="G3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466" t="s">
        <v>686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</row>
    <row r="3" spans="2:33" ht="27" customHeight="1" thickBot="1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467" t="s">
        <v>129</v>
      </c>
      <c r="O3" s="468"/>
      <c r="P3" s="469"/>
      <c r="Q3" s="467" t="s">
        <v>127</v>
      </c>
      <c r="R3" s="468"/>
      <c r="S3" s="469"/>
      <c r="T3" s="470" t="s">
        <v>130</v>
      </c>
      <c r="U3" s="471"/>
    </row>
    <row r="4" spans="2:33" ht="27" customHeight="1" thickBot="1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667" t="s">
        <v>514</v>
      </c>
      <c r="O4" s="473"/>
      <c r="P4" s="474"/>
      <c r="Q4" s="472" t="s">
        <v>518</v>
      </c>
      <c r="R4" s="473"/>
      <c r="S4" s="474"/>
      <c r="T4" s="475">
        <v>2027</v>
      </c>
      <c r="U4" s="476"/>
    </row>
    <row r="5" spans="2:33" ht="24" customHeight="1" thickBot="1">
      <c r="B5" s="477"/>
      <c r="C5" s="477"/>
    </row>
    <row r="6" spans="2:33" ht="20.25" customHeight="1">
      <c r="B6" s="478" t="s">
        <v>13</v>
      </c>
      <c r="C6" s="480" t="s">
        <v>140</v>
      </c>
      <c r="D6" s="462" t="s">
        <v>14</v>
      </c>
      <c r="E6" s="462" t="s">
        <v>15</v>
      </c>
      <c r="F6" s="462" t="s">
        <v>141</v>
      </c>
      <c r="G6" s="462" t="s">
        <v>142</v>
      </c>
      <c r="H6" s="493" t="s">
        <v>58</v>
      </c>
      <c r="I6" s="494"/>
      <c r="J6" s="494"/>
      <c r="K6" s="495"/>
      <c r="L6" s="493" t="s">
        <v>59</v>
      </c>
      <c r="M6" s="494"/>
      <c r="N6" s="494"/>
      <c r="O6" s="495"/>
      <c r="P6" s="493" t="s">
        <v>60</v>
      </c>
      <c r="Q6" s="494"/>
      <c r="R6" s="494"/>
      <c r="S6" s="495"/>
      <c r="T6" s="501" t="s">
        <v>139</v>
      </c>
      <c r="U6" s="496" t="s">
        <v>126</v>
      </c>
      <c r="W6" s="498" t="s">
        <v>131</v>
      </c>
      <c r="X6" s="499"/>
      <c r="Y6" s="499"/>
      <c r="Z6" s="499"/>
      <c r="AA6" s="499"/>
      <c r="AB6" s="499"/>
      <c r="AC6" s="499"/>
      <c r="AD6" s="499"/>
      <c r="AE6" s="499"/>
      <c r="AF6" s="500"/>
      <c r="AG6" s="12"/>
    </row>
    <row r="7" spans="2:33" ht="16.5" customHeight="1">
      <c r="B7" s="479"/>
      <c r="C7" s="481"/>
      <c r="D7" s="463"/>
      <c r="E7" s="463"/>
      <c r="F7" s="463"/>
      <c r="G7" s="463"/>
      <c r="H7" s="464" t="s">
        <v>124</v>
      </c>
      <c r="I7" s="465"/>
      <c r="J7" s="464" t="s">
        <v>62</v>
      </c>
      <c r="K7" s="465"/>
      <c r="L7" s="464" t="s">
        <v>124</v>
      </c>
      <c r="M7" s="465"/>
      <c r="N7" s="464" t="s">
        <v>62</v>
      </c>
      <c r="O7" s="465"/>
      <c r="P7" s="464" t="s">
        <v>124</v>
      </c>
      <c r="Q7" s="465"/>
      <c r="R7" s="464" t="s">
        <v>62</v>
      </c>
      <c r="S7" s="465"/>
      <c r="T7" s="502"/>
      <c r="U7" s="497"/>
      <c r="W7" s="490" t="s">
        <v>132</v>
      </c>
      <c r="X7" s="491"/>
      <c r="Y7" s="491"/>
      <c r="Z7" s="491"/>
      <c r="AA7" s="491"/>
      <c r="AB7" s="491"/>
      <c r="AC7" s="491"/>
      <c r="AD7" s="491"/>
      <c r="AE7" s="491"/>
      <c r="AF7" s="492"/>
      <c r="AG7" s="12"/>
    </row>
    <row r="8" spans="2:33" ht="17.25" customHeight="1" thickBot="1">
      <c r="B8" s="479"/>
      <c r="C8" s="481"/>
      <c r="D8" s="463"/>
      <c r="E8" s="463"/>
      <c r="F8" s="463"/>
      <c r="G8" s="463"/>
      <c r="H8" s="154" t="s">
        <v>138</v>
      </c>
      <c r="I8" s="154" t="s">
        <v>125</v>
      </c>
      <c r="J8" s="154" t="s">
        <v>138</v>
      </c>
      <c r="K8" s="154" t="s">
        <v>125</v>
      </c>
      <c r="L8" s="154" t="s">
        <v>138</v>
      </c>
      <c r="M8" s="154" t="s">
        <v>125</v>
      </c>
      <c r="N8" s="154" t="s">
        <v>138</v>
      </c>
      <c r="O8" s="154" t="s">
        <v>125</v>
      </c>
      <c r="P8" s="154" t="s">
        <v>138</v>
      </c>
      <c r="Q8" s="154" t="s">
        <v>125</v>
      </c>
      <c r="R8" s="154" t="s">
        <v>138</v>
      </c>
      <c r="S8" s="154" t="s">
        <v>125</v>
      </c>
      <c r="T8" s="502"/>
      <c r="U8" s="497"/>
      <c r="W8" s="13"/>
      <c r="X8" s="14"/>
      <c r="Y8" s="14"/>
      <c r="Z8" s="14"/>
      <c r="AA8" s="14"/>
      <c r="AB8" s="14"/>
      <c r="AC8" s="14"/>
      <c r="AD8" s="14"/>
      <c r="AE8" s="14"/>
      <c r="AF8" s="15"/>
      <c r="AG8" s="12"/>
    </row>
    <row r="9" spans="2:33" ht="16.5" customHeight="1">
      <c r="B9" s="482" t="s">
        <v>528</v>
      </c>
      <c r="C9" s="485">
        <v>9</v>
      </c>
      <c r="D9" s="174" t="s">
        <v>693</v>
      </c>
      <c r="E9" s="175" t="s">
        <v>584</v>
      </c>
      <c r="F9" s="174">
        <v>20</v>
      </c>
      <c r="G9" s="174">
        <v>3</v>
      </c>
      <c r="H9" s="184"/>
      <c r="I9" s="184">
        <f>H9*16</f>
        <v>0</v>
      </c>
      <c r="J9" s="184"/>
      <c r="K9" s="184">
        <f>J9*16</f>
        <v>0</v>
      </c>
      <c r="L9" s="184">
        <v>2</v>
      </c>
      <c r="M9" s="184">
        <f>L9*16</f>
        <v>32</v>
      </c>
      <c r="N9" s="184"/>
      <c r="O9" s="184">
        <f>N9*16</f>
        <v>0</v>
      </c>
      <c r="P9" s="184"/>
      <c r="Q9" s="184">
        <f>P9*16</f>
        <v>0</v>
      </c>
      <c r="R9" s="184"/>
      <c r="S9" s="184">
        <f>R9*16</f>
        <v>0</v>
      </c>
      <c r="T9" s="185">
        <f>SUM(H9,J9,L9,N9,P9,R9)</f>
        <v>2</v>
      </c>
      <c r="U9" s="186">
        <f>SUM(I9,K9,M9,O9,Q9,S9)</f>
        <v>32</v>
      </c>
      <c r="W9" s="11"/>
      <c r="X9" s="12"/>
      <c r="Y9" s="12"/>
      <c r="Z9" s="12"/>
      <c r="AA9" s="12"/>
      <c r="AB9" s="12"/>
      <c r="AC9" s="12"/>
      <c r="AD9" s="12"/>
      <c r="AE9" s="12"/>
      <c r="AF9" s="16"/>
      <c r="AG9" s="12"/>
    </row>
    <row r="10" spans="2:33" ht="16.5" customHeight="1">
      <c r="B10" s="483"/>
      <c r="C10" s="486"/>
      <c r="D10" s="176" t="s">
        <v>694</v>
      </c>
      <c r="E10" s="177" t="s">
        <v>585</v>
      </c>
      <c r="F10" s="176">
        <v>20</v>
      </c>
      <c r="G10" s="176">
        <v>2</v>
      </c>
      <c r="H10" s="187"/>
      <c r="I10" s="187">
        <f t="shared" ref="I10:I44" si="0">H10*16</f>
        <v>0</v>
      </c>
      <c r="J10" s="187"/>
      <c r="K10" s="187">
        <f t="shared" ref="K10:K44" si="1">J10*16</f>
        <v>0</v>
      </c>
      <c r="L10" s="187">
        <v>2</v>
      </c>
      <c r="M10" s="187">
        <f t="shared" ref="M10:M44" si="2">L10*16</f>
        <v>32</v>
      </c>
      <c r="N10" s="187"/>
      <c r="O10" s="187">
        <f t="shared" ref="O10:O44" si="3">N10*16</f>
        <v>0</v>
      </c>
      <c r="P10" s="187"/>
      <c r="Q10" s="187">
        <f t="shared" ref="Q10:Q44" si="4">P10*16</f>
        <v>0</v>
      </c>
      <c r="R10" s="187"/>
      <c r="S10" s="187">
        <f t="shared" ref="S10:S44" si="5">R10*16</f>
        <v>0</v>
      </c>
      <c r="T10" s="188">
        <f t="shared" ref="T10:T43" si="6">SUM(H10,J10,L10,N10,P10,R10)</f>
        <v>2</v>
      </c>
      <c r="U10" s="189">
        <f t="shared" ref="U10:U44" si="7">SUM(I10,K10,M10,O10,Q10,S10)</f>
        <v>32</v>
      </c>
      <c r="W10" s="11"/>
      <c r="X10" s="12"/>
      <c r="Y10" s="12"/>
      <c r="Z10" s="12"/>
      <c r="AA10" s="12"/>
      <c r="AB10" s="12"/>
      <c r="AC10" s="12"/>
      <c r="AD10" s="12"/>
      <c r="AE10" s="12"/>
      <c r="AF10" s="16"/>
      <c r="AG10" s="12"/>
    </row>
    <row r="11" spans="2:33">
      <c r="B11" s="483"/>
      <c r="C11" s="486"/>
      <c r="D11" s="176" t="s">
        <v>649</v>
      </c>
      <c r="E11" s="177" t="s">
        <v>661</v>
      </c>
      <c r="F11" s="176">
        <v>80</v>
      </c>
      <c r="G11" s="176">
        <v>3</v>
      </c>
      <c r="H11" s="187"/>
      <c r="I11" s="187">
        <f t="shared" si="0"/>
        <v>0</v>
      </c>
      <c r="J11" s="187"/>
      <c r="K11" s="187">
        <f t="shared" si="1"/>
        <v>0</v>
      </c>
      <c r="L11" s="187"/>
      <c r="M11" s="187">
        <f t="shared" si="2"/>
        <v>0</v>
      </c>
      <c r="N11" s="187">
        <v>5</v>
      </c>
      <c r="O11" s="187">
        <f t="shared" si="3"/>
        <v>80</v>
      </c>
      <c r="P11" s="187"/>
      <c r="Q11" s="187">
        <f t="shared" si="4"/>
        <v>0</v>
      </c>
      <c r="R11" s="187"/>
      <c r="S11" s="187">
        <f t="shared" si="5"/>
        <v>0</v>
      </c>
      <c r="T11" s="188">
        <f t="shared" si="6"/>
        <v>5</v>
      </c>
      <c r="U11" s="189">
        <f t="shared" si="7"/>
        <v>80</v>
      </c>
    </row>
    <row r="12" spans="2:33" ht="18" thickBot="1">
      <c r="B12" s="484"/>
      <c r="C12" s="487"/>
      <c r="D12" s="488" t="s">
        <v>571</v>
      </c>
      <c r="E12" s="489"/>
      <c r="F12" s="183">
        <f>SUM(F9:F11)</f>
        <v>120</v>
      </c>
      <c r="G12" s="183">
        <f>SUM(G9:G11)</f>
        <v>8</v>
      </c>
      <c r="H12" s="193"/>
      <c r="I12" s="194">
        <f t="shared" si="0"/>
        <v>0</v>
      </c>
      <c r="J12" s="193"/>
      <c r="K12" s="194">
        <f t="shared" si="1"/>
        <v>0</v>
      </c>
      <c r="L12" s="193">
        <f>SUM(L9:L11)</f>
        <v>4</v>
      </c>
      <c r="M12" s="194">
        <f t="shared" si="2"/>
        <v>64</v>
      </c>
      <c r="N12" s="193">
        <f>SUM(N9:N11)</f>
        <v>5</v>
      </c>
      <c r="O12" s="194">
        <f t="shared" si="3"/>
        <v>80</v>
      </c>
      <c r="P12" s="193"/>
      <c r="Q12" s="194">
        <f t="shared" si="4"/>
        <v>0</v>
      </c>
      <c r="R12" s="193"/>
      <c r="S12" s="194">
        <f t="shared" si="5"/>
        <v>0</v>
      </c>
      <c r="T12" s="194">
        <f>SUM(T9:T11)</f>
        <v>9</v>
      </c>
      <c r="U12" s="195">
        <f>SUM(I12,K12,M12,O12,Q12,S12)</f>
        <v>144</v>
      </c>
    </row>
    <row r="13" spans="2:33">
      <c r="B13" s="482" t="s">
        <v>575</v>
      </c>
      <c r="C13" s="485">
        <v>8</v>
      </c>
      <c r="D13" s="174" t="s">
        <v>687</v>
      </c>
      <c r="E13" s="175" t="s">
        <v>586</v>
      </c>
      <c r="F13" s="174">
        <v>20</v>
      </c>
      <c r="G13" s="174">
        <v>2</v>
      </c>
      <c r="H13" s="184"/>
      <c r="I13" s="184">
        <f t="shared" si="0"/>
        <v>0</v>
      </c>
      <c r="J13" s="184"/>
      <c r="K13" s="184">
        <f t="shared" si="1"/>
        <v>0</v>
      </c>
      <c r="L13" s="184">
        <v>2</v>
      </c>
      <c r="M13" s="184">
        <f t="shared" si="2"/>
        <v>32</v>
      </c>
      <c r="N13" s="184"/>
      <c r="O13" s="184">
        <f t="shared" si="3"/>
        <v>0</v>
      </c>
      <c r="P13" s="184"/>
      <c r="Q13" s="184">
        <f t="shared" si="4"/>
        <v>0</v>
      </c>
      <c r="R13" s="184"/>
      <c r="S13" s="184">
        <f t="shared" si="5"/>
        <v>0</v>
      </c>
      <c r="T13" s="188">
        <f t="shared" si="6"/>
        <v>2</v>
      </c>
      <c r="U13" s="186">
        <f t="shared" si="7"/>
        <v>32</v>
      </c>
    </row>
    <row r="14" spans="2:33">
      <c r="B14" s="483"/>
      <c r="C14" s="486"/>
      <c r="D14" s="176" t="s">
        <v>688</v>
      </c>
      <c r="E14" s="177" t="s">
        <v>587</v>
      </c>
      <c r="F14" s="176">
        <v>20</v>
      </c>
      <c r="G14" s="176">
        <v>3</v>
      </c>
      <c r="H14" s="187"/>
      <c r="I14" s="187">
        <f t="shared" si="0"/>
        <v>0</v>
      </c>
      <c r="J14" s="187"/>
      <c r="K14" s="187">
        <f t="shared" si="1"/>
        <v>0</v>
      </c>
      <c r="L14" s="187">
        <v>2</v>
      </c>
      <c r="M14" s="187">
        <f t="shared" si="2"/>
        <v>32</v>
      </c>
      <c r="N14" s="187"/>
      <c r="O14" s="187">
        <f t="shared" si="3"/>
        <v>0</v>
      </c>
      <c r="P14" s="187"/>
      <c r="Q14" s="187">
        <f t="shared" si="4"/>
        <v>0</v>
      </c>
      <c r="R14" s="187"/>
      <c r="S14" s="187">
        <f t="shared" si="5"/>
        <v>0</v>
      </c>
      <c r="T14" s="188">
        <f t="shared" si="6"/>
        <v>2</v>
      </c>
      <c r="U14" s="189">
        <f t="shared" si="7"/>
        <v>32</v>
      </c>
    </row>
    <row r="15" spans="2:33">
      <c r="B15" s="483"/>
      <c r="C15" s="486"/>
      <c r="D15" s="176" t="s">
        <v>689</v>
      </c>
      <c r="E15" s="177" t="s">
        <v>691</v>
      </c>
      <c r="F15" s="176">
        <v>20</v>
      </c>
      <c r="G15" s="176">
        <v>3</v>
      </c>
      <c r="H15" s="187"/>
      <c r="I15" s="187">
        <f t="shared" si="0"/>
        <v>0</v>
      </c>
      <c r="J15" s="187"/>
      <c r="K15" s="187">
        <f t="shared" si="1"/>
        <v>0</v>
      </c>
      <c r="L15" s="187"/>
      <c r="M15" s="187">
        <f t="shared" si="2"/>
        <v>0</v>
      </c>
      <c r="N15" s="187">
        <v>2</v>
      </c>
      <c r="O15" s="187">
        <f t="shared" si="3"/>
        <v>32</v>
      </c>
      <c r="P15" s="187"/>
      <c r="Q15" s="187">
        <f t="shared" si="4"/>
        <v>0</v>
      </c>
      <c r="R15" s="187"/>
      <c r="S15" s="187">
        <f t="shared" si="5"/>
        <v>0</v>
      </c>
      <c r="T15" s="188">
        <f t="shared" si="6"/>
        <v>2</v>
      </c>
      <c r="U15" s="189">
        <f t="shared" si="7"/>
        <v>32</v>
      </c>
    </row>
    <row r="16" spans="2:33">
      <c r="B16" s="483"/>
      <c r="C16" s="486"/>
      <c r="D16" s="176" t="s">
        <v>690</v>
      </c>
      <c r="E16" s="177" t="s">
        <v>692</v>
      </c>
      <c r="F16" s="176">
        <v>30</v>
      </c>
      <c r="G16" s="176">
        <v>2</v>
      </c>
      <c r="H16" s="187"/>
      <c r="I16" s="187">
        <f t="shared" si="0"/>
        <v>0</v>
      </c>
      <c r="J16" s="187"/>
      <c r="K16" s="187">
        <f t="shared" si="1"/>
        <v>0</v>
      </c>
      <c r="L16" s="187"/>
      <c r="M16" s="187">
        <f t="shared" si="2"/>
        <v>0</v>
      </c>
      <c r="N16" s="187">
        <v>2</v>
      </c>
      <c r="O16" s="187">
        <f t="shared" si="3"/>
        <v>32</v>
      </c>
      <c r="P16" s="187"/>
      <c r="Q16" s="187">
        <f t="shared" si="4"/>
        <v>0</v>
      </c>
      <c r="R16" s="187"/>
      <c r="S16" s="187">
        <f t="shared" si="5"/>
        <v>0</v>
      </c>
      <c r="T16" s="188">
        <f t="shared" si="6"/>
        <v>2</v>
      </c>
      <c r="U16" s="189">
        <f t="shared" si="7"/>
        <v>32</v>
      </c>
    </row>
    <row r="17" spans="2:21" ht="18" thickBot="1">
      <c r="B17" s="484"/>
      <c r="C17" s="487"/>
      <c r="D17" s="488" t="s">
        <v>571</v>
      </c>
      <c r="E17" s="489"/>
      <c r="F17" s="183">
        <f>SUM(F13:F16)</f>
        <v>90</v>
      </c>
      <c r="G17" s="183">
        <f t="shared" ref="G17:N17" si="8">SUM(G13:G16)</f>
        <v>10</v>
      </c>
      <c r="H17" s="193"/>
      <c r="I17" s="194">
        <f t="shared" si="0"/>
        <v>0</v>
      </c>
      <c r="J17" s="193"/>
      <c r="K17" s="194">
        <f t="shared" si="1"/>
        <v>0</v>
      </c>
      <c r="L17" s="193">
        <f t="shared" si="8"/>
        <v>4</v>
      </c>
      <c r="M17" s="194">
        <f t="shared" si="2"/>
        <v>64</v>
      </c>
      <c r="N17" s="193">
        <f t="shared" si="8"/>
        <v>4</v>
      </c>
      <c r="O17" s="194">
        <f t="shared" si="3"/>
        <v>64</v>
      </c>
      <c r="P17" s="193"/>
      <c r="Q17" s="194">
        <f t="shared" si="4"/>
        <v>0</v>
      </c>
      <c r="R17" s="193"/>
      <c r="S17" s="194">
        <f t="shared" si="5"/>
        <v>0</v>
      </c>
      <c r="T17" s="194">
        <f>SUM(T13:T16)</f>
        <v>8</v>
      </c>
      <c r="U17" s="195">
        <f>SUM(I17,K17,M17,O17,Q17,S17)</f>
        <v>128</v>
      </c>
    </row>
    <row r="18" spans="2:21">
      <c r="B18" s="482" t="s">
        <v>576</v>
      </c>
      <c r="C18" s="485">
        <v>8</v>
      </c>
      <c r="D18" s="174" t="s">
        <v>696</v>
      </c>
      <c r="E18" s="175" t="s">
        <v>588</v>
      </c>
      <c r="F18" s="174">
        <v>40</v>
      </c>
      <c r="G18" s="174">
        <v>2</v>
      </c>
      <c r="H18" s="184"/>
      <c r="I18" s="184">
        <f t="shared" si="0"/>
        <v>0</v>
      </c>
      <c r="J18" s="184"/>
      <c r="K18" s="184">
        <f t="shared" si="1"/>
        <v>0</v>
      </c>
      <c r="L18" s="184">
        <v>2</v>
      </c>
      <c r="M18" s="184">
        <f t="shared" si="2"/>
        <v>32</v>
      </c>
      <c r="N18" s="184"/>
      <c r="O18" s="184">
        <f t="shared" si="3"/>
        <v>0</v>
      </c>
      <c r="P18" s="184"/>
      <c r="Q18" s="184">
        <f t="shared" si="4"/>
        <v>0</v>
      </c>
      <c r="R18" s="184"/>
      <c r="S18" s="184">
        <f t="shared" si="5"/>
        <v>0</v>
      </c>
      <c r="T18" s="188">
        <f t="shared" si="6"/>
        <v>2</v>
      </c>
      <c r="U18" s="186">
        <f t="shared" si="7"/>
        <v>32</v>
      </c>
    </row>
    <row r="19" spans="2:21">
      <c r="B19" s="483"/>
      <c r="C19" s="486"/>
      <c r="D19" s="176" t="s">
        <v>697</v>
      </c>
      <c r="E19" s="177" t="s">
        <v>589</v>
      </c>
      <c r="F19" s="176">
        <v>30</v>
      </c>
      <c r="G19" s="176">
        <v>2</v>
      </c>
      <c r="H19" s="187"/>
      <c r="I19" s="187">
        <f t="shared" si="0"/>
        <v>0</v>
      </c>
      <c r="J19" s="187"/>
      <c r="K19" s="187">
        <f t="shared" si="1"/>
        <v>0</v>
      </c>
      <c r="L19" s="187">
        <v>2</v>
      </c>
      <c r="M19" s="187">
        <f t="shared" si="2"/>
        <v>32</v>
      </c>
      <c r="N19" s="187"/>
      <c r="O19" s="187">
        <f t="shared" si="3"/>
        <v>0</v>
      </c>
      <c r="P19" s="187"/>
      <c r="Q19" s="187">
        <f t="shared" si="4"/>
        <v>0</v>
      </c>
      <c r="R19" s="187"/>
      <c r="S19" s="187">
        <f t="shared" si="5"/>
        <v>0</v>
      </c>
      <c r="T19" s="188">
        <f t="shared" si="6"/>
        <v>2</v>
      </c>
      <c r="U19" s="189">
        <f t="shared" si="7"/>
        <v>32</v>
      </c>
    </row>
    <row r="20" spans="2:21">
      <c r="B20" s="483"/>
      <c r="C20" s="486"/>
      <c r="D20" s="176" t="s">
        <v>698</v>
      </c>
      <c r="E20" s="177" t="s">
        <v>590</v>
      </c>
      <c r="F20" s="176">
        <v>40</v>
      </c>
      <c r="G20" s="176">
        <v>2</v>
      </c>
      <c r="H20" s="187"/>
      <c r="I20" s="187">
        <f t="shared" si="0"/>
        <v>0</v>
      </c>
      <c r="J20" s="187"/>
      <c r="K20" s="187">
        <f t="shared" si="1"/>
        <v>0</v>
      </c>
      <c r="L20" s="187"/>
      <c r="M20" s="187">
        <f t="shared" si="2"/>
        <v>0</v>
      </c>
      <c r="N20" s="187">
        <v>2</v>
      </c>
      <c r="O20" s="187">
        <f t="shared" si="3"/>
        <v>32</v>
      </c>
      <c r="P20" s="187"/>
      <c r="Q20" s="187">
        <f t="shared" si="4"/>
        <v>0</v>
      </c>
      <c r="R20" s="187"/>
      <c r="S20" s="187">
        <f t="shared" si="5"/>
        <v>0</v>
      </c>
      <c r="T20" s="188">
        <f t="shared" si="6"/>
        <v>2</v>
      </c>
      <c r="U20" s="189">
        <f t="shared" si="7"/>
        <v>32</v>
      </c>
    </row>
    <row r="21" spans="2:21">
      <c r="B21" s="483"/>
      <c r="C21" s="486"/>
      <c r="D21" s="176" t="s">
        <v>650</v>
      </c>
      <c r="E21" s="177" t="s">
        <v>591</v>
      </c>
      <c r="F21" s="176">
        <v>20</v>
      </c>
      <c r="G21" s="176">
        <v>2</v>
      </c>
      <c r="H21" s="187"/>
      <c r="I21" s="187">
        <f t="shared" si="0"/>
        <v>0</v>
      </c>
      <c r="J21" s="187"/>
      <c r="K21" s="187">
        <f t="shared" si="1"/>
        <v>0</v>
      </c>
      <c r="L21" s="187"/>
      <c r="M21" s="187">
        <f t="shared" si="2"/>
        <v>0</v>
      </c>
      <c r="N21" s="187">
        <v>2</v>
      </c>
      <c r="O21" s="187">
        <f t="shared" si="3"/>
        <v>32</v>
      </c>
      <c r="P21" s="187"/>
      <c r="Q21" s="187">
        <f t="shared" si="4"/>
        <v>0</v>
      </c>
      <c r="R21" s="187"/>
      <c r="S21" s="187">
        <f t="shared" si="5"/>
        <v>0</v>
      </c>
      <c r="T21" s="188">
        <f t="shared" si="6"/>
        <v>2</v>
      </c>
      <c r="U21" s="189">
        <f t="shared" si="7"/>
        <v>32</v>
      </c>
    </row>
    <row r="22" spans="2:21" ht="18" thickBot="1">
      <c r="B22" s="484"/>
      <c r="C22" s="487"/>
      <c r="D22" s="488" t="s">
        <v>571</v>
      </c>
      <c r="E22" s="489"/>
      <c r="F22" s="183">
        <f>SUM(F18:F21)</f>
        <v>130</v>
      </c>
      <c r="G22" s="183">
        <f>SUM(G18:G21)</f>
        <v>8</v>
      </c>
      <c r="H22" s="193"/>
      <c r="I22" s="194">
        <f t="shared" si="0"/>
        <v>0</v>
      </c>
      <c r="J22" s="193"/>
      <c r="K22" s="194">
        <f t="shared" si="1"/>
        <v>0</v>
      </c>
      <c r="L22" s="193">
        <f t="shared" ref="L22:N22" si="9">SUM(L18:L21)</f>
        <v>4</v>
      </c>
      <c r="M22" s="194">
        <f t="shared" si="2"/>
        <v>64</v>
      </c>
      <c r="N22" s="193">
        <f t="shared" si="9"/>
        <v>4</v>
      </c>
      <c r="O22" s="194">
        <f t="shared" si="3"/>
        <v>64</v>
      </c>
      <c r="P22" s="193"/>
      <c r="Q22" s="194">
        <f t="shared" si="4"/>
        <v>0</v>
      </c>
      <c r="R22" s="193"/>
      <c r="S22" s="194">
        <f t="shared" si="5"/>
        <v>0</v>
      </c>
      <c r="T22" s="194">
        <f>SUM(T18:T21)</f>
        <v>8</v>
      </c>
      <c r="U22" s="195">
        <f t="shared" si="7"/>
        <v>128</v>
      </c>
    </row>
    <row r="23" spans="2:21">
      <c r="B23" s="482" t="s">
        <v>577</v>
      </c>
      <c r="C23" s="485">
        <v>14</v>
      </c>
      <c r="D23" s="174" t="s">
        <v>699</v>
      </c>
      <c r="E23" s="175" t="s">
        <v>592</v>
      </c>
      <c r="F23" s="174">
        <v>20</v>
      </c>
      <c r="G23" s="174">
        <v>3</v>
      </c>
      <c r="H23" s="184"/>
      <c r="I23" s="184">
        <f t="shared" si="0"/>
        <v>0</v>
      </c>
      <c r="J23" s="184"/>
      <c r="K23" s="184">
        <f t="shared" si="1"/>
        <v>0</v>
      </c>
      <c r="L23" s="184"/>
      <c r="M23" s="184">
        <f t="shared" si="2"/>
        <v>0</v>
      </c>
      <c r="N23" s="184"/>
      <c r="O23" s="184">
        <f t="shared" si="3"/>
        <v>0</v>
      </c>
      <c r="P23" s="184">
        <v>6</v>
      </c>
      <c r="Q23" s="184">
        <f t="shared" si="4"/>
        <v>96</v>
      </c>
      <c r="R23" s="184"/>
      <c r="S23" s="184">
        <f t="shared" si="5"/>
        <v>0</v>
      </c>
      <c r="T23" s="188">
        <f t="shared" si="6"/>
        <v>6</v>
      </c>
      <c r="U23" s="186">
        <f t="shared" si="7"/>
        <v>96</v>
      </c>
    </row>
    <row r="24" spans="2:21">
      <c r="B24" s="483"/>
      <c r="C24" s="486"/>
      <c r="D24" s="176" t="s">
        <v>579</v>
      </c>
      <c r="E24" s="177" t="s">
        <v>593</v>
      </c>
      <c r="F24" s="176">
        <v>12</v>
      </c>
      <c r="G24" s="176">
        <v>4</v>
      </c>
      <c r="H24" s="187"/>
      <c r="I24" s="187">
        <f t="shared" si="0"/>
        <v>0</v>
      </c>
      <c r="J24" s="187"/>
      <c r="K24" s="187">
        <f t="shared" si="1"/>
        <v>0</v>
      </c>
      <c r="L24" s="187"/>
      <c r="M24" s="187">
        <f t="shared" si="2"/>
        <v>0</v>
      </c>
      <c r="N24" s="187"/>
      <c r="O24" s="187">
        <f t="shared" si="3"/>
        <v>0</v>
      </c>
      <c r="P24" s="187"/>
      <c r="Q24" s="187">
        <f t="shared" si="4"/>
        <v>0</v>
      </c>
      <c r="R24" s="187">
        <v>4</v>
      </c>
      <c r="S24" s="187">
        <f t="shared" si="5"/>
        <v>64</v>
      </c>
      <c r="T24" s="188">
        <f t="shared" si="6"/>
        <v>4</v>
      </c>
      <c r="U24" s="189">
        <f t="shared" si="7"/>
        <v>64</v>
      </c>
    </row>
    <row r="25" spans="2:21">
      <c r="B25" s="483"/>
      <c r="C25" s="486"/>
      <c r="D25" s="176" t="s">
        <v>580</v>
      </c>
      <c r="E25" s="177" t="s">
        <v>594</v>
      </c>
      <c r="F25" s="176">
        <v>16</v>
      </c>
      <c r="G25" s="176">
        <v>4</v>
      </c>
      <c r="H25" s="187"/>
      <c r="I25" s="187">
        <f t="shared" si="0"/>
        <v>0</v>
      </c>
      <c r="J25" s="187"/>
      <c r="K25" s="187">
        <f t="shared" si="1"/>
        <v>0</v>
      </c>
      <c r="L25" s="187"/>
      <c r="M25" s="187">
        <f t="shared" si="2"/>
        <v>0</v>
      </c>
      <c r="N25" s="187"/>
      <c r="O25" s="187">
        <f t="shared" si="3"/>
        <v>0</v>
      </c>
      <c r="P25" s="187"/>
      <c r="Q25" s="187">
        <f t="shared" si="4"/>
        <v>0</v>
      </c>
      <c r="R25" s="187">
        <v>4</v>
      </c>
      <c r="S25" s="187">
        <f t="shared" si="5"/>
        <v>64</v>
      </c>
      <c r="T25" s="188">
        <f t="shared" si="6"/>
        <v>4</v>
      </c>
      <c r="U25" s="189">
        <f t="shared" si="7"/>
        <v>64</v>
      </c>
    </row>
    <row r="26" spans="2:21" ht="18" thickBot="1">
      <c r="B26" s="484"/>
      <c r="C26" s="487"/>
      <c r="D26" s="488" t="s">
        <v>571</v>
      </c>
      <c r="E26" s="489"/>
      <c r="F26" s="183">
        <f>SUM(F23:F25)</f>
        <v>48</v>
      </c>
      <c r="G26" s="183">
        <f t="shared" ref="G26:R26" si="10">SUM(G23:G25)</f>
        <v>11</v>
      </c>
      <c r="H26" s="193"/>
      <c r="I26" s="194">
        <f t="shared" si="0"/>
        <v>0</v>
      </c>
      <c r="J26" s="193"/>
      <c r="K26" s="194">
        <f t="shared" si="1"/>
        <v>0</v>
      </c>
      <c r="L26" s="193"/>
      <c r="M26" s="194">
        <f t="shared" si="2"/>
        <v>0</v>
      </c>
      <c r="N26" s="193"/>
      <c r="O26" s="194">
        <f t="shared" si="3"/>
        <v>0</v>
      </c>
      <c r="P26" s="193">
        <f t="shared" si="10"/>
        <v>6</v>
      </c>
      <c r="Q26" s="194">
        <f t="shared" si="4"/>
        <v>96</v>
      </c>
      <c r="R26" s="193">
        <f t="shared" si="10"/>
        <v>8</v>
      </c>
      <c r="S26" s="194">
        <f t="shared" si="5"/>
        <v>128</v>
      </c>
      <c r="T26" s="194">
        <f>SUM(T23:T25)</f>
        <v>14</v>
      </c>
      <c r="U26" s="195">
        <f t="shared" si="7"/>
        <v>224</v>
      </c>
    </row>
    <row r="27" spans="2:21">
      <c r="B27" s="482" t="s">
        <v>578</v>
      </c>
      <c r="C27" s="485">
        <v>14</v>
      </c>
      <c r="D27" s="174" t="s">
        <v>700</v>
      </c>
      <c r="E27" s="178" t="s">
        <v>652</v>
      </c>
      <c r="F27" s="174">
        <v>20</v>
      </c>
      <c r="G27" s="174">
        <v>4</v>
      </c>
      <c r="H27" s="184"/>
      <c r="I27" s="184">
        <f t="shared" si="0"/>
        <v>0</v>
      </c>
      <c r="J27" s="184"/>
      <c r="K27" s="184">
        <f t="shared" si="1"/>
        <v>0</v>
      </c>
      <c r="L27" s="184"/>
      <c r="M27" s="184">
        <f t="shared" si="2"/>
        <v>0</v>
      </c>
      <c r="N27" s="184"/>
      <c r="O27" s="184">
        <f t="shared" si="3"/>
        <v>0</v>
      </c>
      <c r="P27" s="184">
        <v>3</v>
      </c>
      <c r="Q27" s="184">
        <f t="shared" si="4"/>
        <v>48</v>
      </c>
      <c r="R27" s="184"/>
      <c r="S27" s="184">
        <f t="shared" si="5"/>
        <v>0</v>
      </c>
      <c r="T27" s="188">
        <f t="shared" si="6"/>
        <v>3</v>
      </c>
      <c r="U27" s="186">
        <f t="shared" si="7"/>
        <v>48</v>
      </c>
    </row>
    <row r="28" spans="2:21">
      <c r="B28" s="483"/>
      <c r="C28" s="486"/>
      <c r="D28" s="179" t="s">
        <v>701</v>
      </c>
      <c r="E28" s="180" t="s">
        <v>651</v>
      </c>
      <c r="F28" s="179">
        <v>20</v>
      </c>
      <c r="G28" s="179">
        <v>3</v>
      </c>
      <c r="H28" s="190"/>
      <c r="I28" s="190"/>
      <c r="J28" s="190"/>
      <c r="K28" s="190"/>
      <c r="L28" s="190"/>
      <c r="M28" s="190"/>
      <c r="N28" s="190"/>
      <c r="O28" s="190"/>
      <c r="P28" s="190">
        <v>3</v>
      </c>
      <c r="Q28" s="190">
        <f>P28*16</f>
        <v>48</v>
      </c>
      <c r="R28" s="190"/>
      <c r="S28" s="190"/>
      <c r="T28" s="188">
        <f t="shared" si="6"/>
        <v>3</v>
      </c>
      <c r="U28" s="192"/>
    </row>
    <row r="29" spans="2:21">
      <c r="B29" s="483"/>
      <c r="C29" s="486"/>
      <c r="D29" s="179" t="s">
        <v>702</v>
      </c>
      <c r="E29" s="180" t="s">
        <v>653</v>
      </c>
      <c r="F29" s="179">
        <v>20</v>
      </c>
      <c r="G29" s="179">
        <v>4</v>
      </c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>
        <v>4</v>
      </c>
      <c r="S29" s="190">
        <f>R29*16</f>
        <v>64</v>
      </c>
      <c r="T29" s="188">
        <f t="shared" si="6"/>
        <v>4</v>
      </c>
      <c r="U29" s="192"/>
    </row>
    <row r="30" spans="2:21">
      <c r="B30" s="483"/>
      <c r="C30" s="486"/>
      <c r="D30" s="176" t="s">
        <v>703</v>
      </c>
      <c r="E30" s="181" t="s">
        <v>601</v>
      </c>
      <c r="F30" s="176">
        <v>20</v>
      </c>
      <c r="G30" s="176">
        <v>3</v>
      </c>
      <c r="H30" s="187"/>
      <c r="I30" s="187">
        <f t="shared" si="0"/>
        <v>0</v>
      </c>
      <c r="J30" s="187"/>
      <c r="K30" s="187">
        <f t="shared" si="1"/>
        <v>0</v>
      </c>
      <c r="L30" s="187"/>
      <c r="M30" s="187">
        <f t="shared" si="2"/>
        <v>0</v>
      </c>
      <c r="N30" s="187"/>
      <c r="O30" s="187">
        <f t="shared" si="3"/>
        <v>0</v>
      </c>
      <c r="P30" s="187"/>
      <c r="Q30" s="187">
        <f t="shared" si="4"/>
        <v>0</v>
      </c>
      <c r="R30" s="187">
        <v>4</v>
      </c>
      <c r="S30" s="187">
        <f t="shared" si="5"/>
        <v>64</v>
      </c>
      <c r="T30" s="188">
        <f t="shared" si="6"/>
        <v>4</v>
      </c>
      <c r="U30" s="189">
        <f t="shared" si="7"/>
        <v>64</v>
      </c>
    </row>
    <row r="31" spans="2:21" ht="18" thickBot="1">
      <c r="B31" s="484"/>
      <c r="C31" s="487"/>
      <c r="D31" s="488" t="s">
        <v>571</v>
      </c>
      <c r="E31" s="489"/>
      <c r="F31" s="183">
        <f>SUM(F27:F30)</f>
        <v>80</v>
      </c>
      <c r="G31" s="183">
        <f t="shared" ref="G31:R31" si="11">SUM(G27:G30)</f>
        <v>14</v>
      </c>
      <c r="H31" s="193"/>
      <c r="I31" s="194">
        <f t="shared" si="0"/>
        <v>0</v>
      </c>
      <c r="J31" s="193"/>
      <c r="K31" s="194">
        <f t="shared" si="1"/>
        <v>0</v>
      </c>
      <c r="L31" s="193"/>
      <c r="M31" s="194">
        <f t="shared" si="2"/>
        <v>0</v>
      </c>
      <c r="N31" s="193"/>
      <c r="O31" s="194">
        <f t="shared" si="3"/>
        <v>0</v>
      </c>
      <c r="P31" s="193">
        <f t="shared" si="11"/>
        <v>6</v>
      </c>
      <c r="Q31" s="194">
        <f t="shared" si="4"/>
        <v>96</v>
      </c>
      <c r="R31" s="193">
        <f t="shared" si="11"/>
        <v>8</v>
      </c>
      <c r="S31" s="194">
        <f t="shared" si="5"/>
        <v>128</v>
      </c>
      <c r="T31" s="194">
        <f>SUM(T27:T30)</f>
        <v>14</v>
      </c>
      <c r="U31" s="195">
        <f t="shared" si="7"/>
        <v>224</v>
      </c>
    </row>
    <row r="32" spans="2:21">
      <c r="B32" s="482" t="s">
        <v>582</v>
      </c>
      <c r="C32" s="485">
        <v>14</v>
      </c>
      <c r="D32" s="174" t="s">
        <v>704</v>
      </c>
      <c r="E32" s="175" t="s">
        <v>706</v>
      </c>
      <c r="F32" s="174">
        <v>40</v>
      </c>
      <c r="G32" s="174">
        <v>2</v>
      </c>
      <c r="H32" s="184"/>
      <c r="I32" s="184">
        <f t="shared" si="0"/>
        <v>0</v>
      </c>
      <c r="J32" s="184"/>
      <c r="K32" s="184">
        <f t="shared" si="1"/>
        <v>0</v>
      </c>
      <c r="L32" s="184"/>
      <c r="M32" s="184">
        <f t="shared" si="2"/>
        <v>0</v>
      </c>
      <c r="N32" s="184"/>
      <c r="O32" s="184">
        <f t="shared" si="3"/>
        <v>0</v>
      </c>
      <c r="P32" s="184">
        <v>3</v>
      </c>
      <c r="Q32" s="184">
        <f t="shared" si="4"/>
        <v>48</v>
      </c>
      <c r="R32" s="184"/>
      <c r="S32" s="184">
        <f t="shared" si="5"/>
        <v>0</v>
      </c>
      <c r="T32" s="188">
        <f t="shared" si="6"/>
        <v>3</v>
      </c>
      <c r="U32" s="186">
        <f t="shared" si="7"/>
        <v>48</v>
      </c>
    </row>
    <row r="33" spans="2:21">
      <c r="B33" s="483"/>
      <c r="C33" s="486"/>
      <c r="D33" s="176" t="s">
        <v>695</v>
      </c>
      <c r="E33" s="177" t="s">
        <v>595</v>
      </c>
      <c r="F33" s="176">
        <v>40</v>
      </c>
      <c r="G33" s="176">
        <v>2</v>
      </c>
      <c r="H33" s="187"/>
      <c r="I33" s="187">
        <f t="shared" si="0"/>
        <v>0</v>
      </c>
      <c r="J33" s="187"/>
      <c r="K33" s="187">
        <f t="shared" si="1"/>
        <v>0</v>
      </c>
      <c r="L33" s="187"/>
      <c r="M33" s="187">
        <f t="shared" si="2"/>
        <v>0</v>
      </c>
      <c r="N33" s="187"/>
      <c r="O33" s="187">
        <f t="shared" si="3"/>
        <v>0</v>
      </c>
      <c r="P33" s="187">
        <v>3</v>
      </c>
      <c r="Q33" s="187">
        <f t="shared" si="4"/>
        <v>48</v>
      </c>
      <c r="R33" s="187"/>
      <c r="S33" s="187">
        <f t="shared" si="5"/>
        <v>0</v>
      </c>
      <c r="T33" s="188">
        <f t="shared" si="6"/>
        <v>3</v>
      </c>
      <c r="U33" s="189">
        <f t="shared" si="7"/>
        <v>48</v>
      </c>
    </row>
    <row r="34" spans="2:21">
      <c r="B34" s="483"/>
      <c r="C34" s="486"/>
      <c r="D34" s="176" t="s">
        <v>705</v>
      </c>
      <c r="E34" s="177" t="s">
        <v>596</v>
      </c>
      <c r="F34" s="176">
        <v>40</v>
      </c>
      <c r="G34" s="176">
        <v>3</v>
      </c>
      <c r="H34" s="187"/>
      <c r="I34" s="187">
        <f t="shared" si="0"/>
        <v>0</v>
      </c>
      <c r="J34" s="187"/>
      <c r="K34" s="187">
        <f t="shared" si="1"/>
        <v>0</v>
      </c>
      <c r="L34" s="187"/>
      <c r="M34" s="187">
        <f t="shared" si="2"/>
        <v>0</v>
      </c>
      <c r="N34" s="187"/>
      <c r="O34" s="187">
        <f t="shared" si="3"/>
        <v>0</v>
      </c>
      <c r="P34" s="187"/>
      <c r="Q34" s="187">
        <f t="shared" si="4"/>
        <v>0</v>
      </c>
      <c r="R34" s="187">
        <v>4</v>
      </c>
      <c r="S34" s="187">
        <f t="shared" si="5"/>
        <v>64</v>
      </c>
      <c r="T34" s="188">
        <f t="shared" si="6"/>
        <v>4</v>
      </c>
      <c r="U34" s="189">
        <f t="shared" si="7"/>
        <v>64</v>
      </c>
    </row>
    <row r="35" spans="2:21">
      <c r="B35" s="483"/>
      <c r="C35" s="486"/>
      <c r="D35" s="176" t="s">
        <v>581</v>
      </c>
      <c r="E35" s="177" t="s">
        <v>597</v>
      </c>
      <c r="F35" s="176">
        <v>40</v>
      </c>
      <c r="G35" s="176">
        <v>3</v>
      </c>
      <c r="H35" s="187"/>
      <c r="I35" s="187">
        <f t="shared" si="0"/>
        <v>0</v>
      </c>
      <c r="J35" s="187"/>
      <c r="K35" s="187">
        <f t="shared" si="1"/>
        <v>0</v>
      </c>
      <c r="L35" s="187"/>
      <c r="M35" s="187">
        <f t="shared" si="2"/>
        <v>0</v>
      </c>
      <c r="N35" s="187"/>
      <c r="O35" s="187">
        <f t="shared" si="3"/>
        <v>0</v>
      </c>
      <c r="P35" s="187"/>
      <c r="Q35" s="187">
        <f t="shared" si="4"/>
        <v>0</v>
      </c>
      <c r="R35" s="187">
        <v>4</v>
      </c>
      <c r="S35" s="187">
        <f t="shared" si="5"/>
        <v>64</v>
      </c>
      <c r="T35" s="188">
        <f t="shared" si="6"/>
        <v>4</v>
      </c>
      <c r="U35" s="189">
        <f t="shared" si="7"/>
        <v>64</v>
      </c>
    </row>
    <row r="36" spans="2:21" ht="18" thickBot="1">
      <c r="B36" s="484"/>
      <c r="C36" s="487"/>
      <c r="D36" s="488" t="s">
        <v>571</v>
      </c>
      <c r="E36" s="489"/>
      <c r="F36" s="183">
        <f>SUM(F32:F35)</f>
        <v>160</v>
      </c>
      <c r="G36" s="183">
        <f t="shared" ref="G36:R36" si="12">SUM(G32:G35)</f>
        <v>10</v>
      </c>
      <c r="H36" s="193"/>
      <c r="I36" s="194">
        <f t="shared" si="0"/>
        <v>0</v>
      </c>
      <c r="J36" s="193"/>
      <c r="K36" s="194">
        <f t="shared" si="1"/>
        <v>0</v>
      </c>
      <c r="L36" s="193"/>
      <c r="M36" s="194">
        <f t="shared" si="2"/>
        <v>0</v>
      </c>
      <c r="N36" s="193"/>
      <c r="O36" s="194">
        <f t="shared" si="3"/>
        <v>0</v>
      </c>
      <c r="P36" s="193">
        <f t="shared" si="12"/>
        <v>6</v>
      </c>
      <c r="Q36" s="194">
        <f t="shared" si="4"/>
        <v>96</v>
      </c>
      <c r="R36" s="193">
        <f t="shared" si="12"/>
        <v>8</v>
      </c>
      <c r="S36" s="194">
        <f t="shared" si="5"/>
        <v>128</v>
      </c>
      <c r="T36" s="194">
        <f>SUM(T32:T35)</f>
        <v>14</v>
      </c>
      <c r="U36" s="195">
        <f t="shared" si="7"/>
        <v>224</v>
      </c>
    </row>
    <row r="37" spans="2:21">
      <c r="B37" s="482" t="s">
        <v>583</v>
      </c>
      <c r="C37" s="485">
        <v>14</v>
      </c>
      <c r="D37" s="174" t="s">
        <v>707</v>
      </c>
      <c r="E37" s="175" t="s">
        <v>598</v>
      </c>
      <c r="F37" s="174">
        <v>16</v>
      </c>
      <c r="G37" s="174">
        <v>3</v>
      </c>
      <c r="H37" s="184"/>
      <c r="I37" s="184">
        <f t="shared" si="0"/>
        <v>0</v>
      </c>
      <c r="J37" s="184"/>
      <c r="K37" s="184">
        <f t="shared" si="1"/>
        <v>0</v>
      </c>
      <c r="L37" s="184"/>
      <c r="M37" s="184">
        <f t="shared" si="2"/>
        <v>0</v>
      </c>
      <c r="N37" s="184"/>
      <c r="O37" s="184">
        <f t="shared" si="3"/>
        <v>0</v>
      </c>
      <c r="P37" s="184"/>
      <c r="Q37" s="184">
        <f t="shared" si="4"/>
        <v>0</v>
      </c>
      <c r="R37" s="184">
        <v>4</v>
      </c>
      <c r="S37" s="184">
        <f t="shared" si="5"/>
        <v>64</v>
      </c>
      <c r="T37" s="188">
        <f t="shared" si="6"/>
        <v>4</v>
      </c>
      <c r="U37" s="186">
        <f t="shared" si="7"/>
        <v>64</v>
      </c>
    </row>
    <row r="38" spans="2:21">
      <c r="B38" s="483"/>
      <c r="C38" s="486"/>
      <c r="D38" s="176" t="s">
        <v>708</v>
      </c>
      <c r="E38" s="177" t="s">
        <v>599</v>
      </c>
      <c r="F38" s="176">
        <v>16</v>
      </c>
      <c r="G38" s="176">
        <v>4</v>
      </c>
      <c r="H38" s="187"/>
      <c r="I38" s="187">
        <f t="shared" si="0"/>
        <v>0</v>
      </c>
      <c r="J38" s="187"/>
      <c r="K38" s="187">
        <f t="shared" si="1"/>
        <v>0</v>
      </c>
      <c r="L38" s="187"/>
      <c r="M38" s="187">
        <f t="shared" si="2"/>
        <v>0</v>
      </c>
      <c r="N38" s="187"/>
      <c r="O38" s="187">
        <f t="shared" si="3"/>
        <v>0</v>
      </c>
      <c r="P38" s="187">
        <v>6</v>
      </c>
      <c r="Q38" s="187">
        <f t="shared" si="4"/>
        <v>96</v>
      </c>
      <c r="R38" s="187"/>
      <c r="S38" s="187">
        <f t="shared" si="5"/>
        <v>0</v>
      </c>
      <c r="T38" s="188">
        <f t="shared" si="6"/>
        <v>6</v>
      </c>
      <c r="U38" s="189">
        <f t="shared" si="7"/>
        <v>96</v>
      </c>
    </row>
    <row r="39" spans="2:21">
      <c r="B39" s="483"/>
      <c r="C39" s="486"/>
      <c r="D39" s="176" t="s">
        <v>709</v>
      </c>
      <c r="E39" s="177" t="s">
        <v>600</v>
      </c>
      <c r="F39" s="176">
        <v>16</v>
      </c>
      <c r="G39" s="176">
        <v>4</v>
      </c>
      <c r="H39" s="187"/>
      <c r="I39" s="187">
        <f t="shared" si="0"/>
        <v>0</v>
      </c>
      <c r="J39" s="187"/>
      <c r="K39" s="187">
        <f t="shared" si="1"/>
        <v>0</v>
      </c>
      <c r="L39" s="187"/>
      <c r="M39" s="187">
        <f t="shared" si="2"/>
        <v>0</v>
      </c>
      <c r="N39" s="187"/>
      <c r="O39" s="187">
        <f t="shared" si="3"/>
        <v>0</v>
      </c>
      <c r="P39" s="187"/>
      <c r="Q39" s="187">
        <f t="shared" si="4"/>
        <v>0</v>
      </c>
      <c r="R39" s="187">
        <v>4</v>
      </c>
      <c r="S39" s="187">
        <f t="shared" si="5"/>
        <v>64</v>
      </c>
      <c r="T39" s="188">
        <f t="shared" si="6"/>
        <v>4</v>
      </c>
      <c r="U39" s="189">
        <f t="shared" si="7"/>
        <v>64</v>
      </c>
    </row>
    <row r="40" spans="2:21" ht="18" thickBot="1">
      <c r="B40" s="484"/>
      <c r="C40" s="487"/>
      <c r="D40" s="488" t="s">
        <v>571</v>
      </c>
      <c r="E40" s="489"/>
      <c r="F40" s="183">
        <f>SUM(F37:F39)</f>
        <v>48</v>
      </c>
      <c r="G40" s="183">
        <f t="shared" ref="G40:R40" si="13">SUM(G37:G39)</f>
        <v>11</v>
      </c>
      <c r="H40" s="193"/>
      <c r="I40" s="194">
        <f t="shared" si="0"/>
        <v>0</v>
      </c>
      <c r="J40" s="193"/>
      <c r="K40" s="194">
        <f t="shared" si="1"/>
        <v>0</v>
      </c>
      <c r="L40" s="193"/>
      <c r="M40" s="194">
        <f t="shared" si="2"/>
        <v>0</v>
      </c>
      <c r="N40" s="193"/>
      <c r="O40" s="194">
        <f t="shared" si="3"/>
        <v>0</v>
      </c>
      <c r="P40" s="193">
        <f t="shared" si="13"/>
        <v>6</v>
      </c>
      <c r="Q40" s="194">
        <f t="shared" si="4"/>
        <v>96</v>
      </c>
      <c r="R40" s="193">
        <f t="shared" si="13"/>
        <v>8</v>
      </c>
      <c r="S40" s="194">
        <f t="shared" si="5"/>
        <v>128</v>
      </c>
      <c r="T40" s="194">
        <f>SUM(T37:T39)</f>
        <v>14</v>
      </c>
      <c r="U40" s="195">
        <f t="shared" si="7"/>
        <v>224</v>
      </c>
    </row>
    <row r="41" spans="2:21">
      <c r="B41" s="482" t="s">
        <v>658</v>
      </c>
      <c r="C41" s="485">
        <v>14</v>
      </c>
      <c r="D41" s="174" t="s">
        <v>659</v>
      </c>
      <c r="E41" s="175" t="s">
        <v>711</v>
      </c>
      <c r="F41" s="174">
        <v>40</v>
      </c>
      <c r="G41" s="174">
        <v>3</v>
      </c>
      <c r="H41" s="184"/>
      <c r="I41" s="184">
        <f t="shared" si="0"/>
        <v>0</v>
      </c>
      <c r="J41" s="184"/>
      <c r="K41" s="184">
        <f t="shared" si="1"/>
        <v>0</v>
      </c>
      <c r="L41" s="184"/>
      <c r="M41" s="184">
        <f t="shared" si="2"/>
        <v>0</v>
      </c>
      <c r="N41" s="184"/>
      <c r="O41" s="184">
        <f t="shared" si="3"/>
        <v>0</v>
      </c>
      <c r="P41" s="184">
        <v>3</v>
      </c>
      <c r="Q41" s="184">
        <f t="shared" si="4"/>
        <v>48</v>
      </c>
      <c r="R41" s="184"/>
      <c r="S41" s="184">
        <f t="shared" si="5"/>
        <v>0</v>
      </c>
      <c r="T41" s="188">
        <f t="shared" si="6"/>
        <v>3</v>
      </c>
      <c r="U41" s="186">
        <f t="shared" si="7"/>
        <v>48</v>
      </c>
    </row>
    <row r="42" spans="2:21">
      <c r="B42" s="483"/>
      <c r="C42" s="486"/>
      <c r="D42" s="176" t="s">
        <v>660</v>
      </c>
      <c r="E42" s="177" t="s">
        <v>712</v>
      </c>
      <c r="F42" s="176">
        <v>30</v>
      </c>
      <c r="G42" s="176">
        <v>4</v>
      </c>
      <c r="H42" s="187"/>
      <c r="I42" s="187">
        <f t="shared" si="0"/>
        <v>0</v>
      </c>
      <c r="J42" s="187"/>
      <c r="K42" s="187">
        <f t="shared" si="1"/>
        <v>0</v>
      </c>
      <c r="L42" s="187"/>
      <c r="M42" s="187">
        <f t="shared" si="2"/>
        <v>0</v>
      </c>
      <c r="N42" s="187"/>
      <c r="O42" s="187">
        <f t="shared" si="3"/>
        <v>0</v>
      </c>
      <c r="P42" s="187">
        <v>3</v>
      </c>
      <c r="Q42" s="187">
        <f t="shared" si="4"/>
        <v>48</v>
      </c>
      <c r="R42" s="187"/>
      <c r="S42" s="187">
        <f t="shared" si="5"/>
        <v>0</v>
      </c>
      <c r="T42" s="188">
        <f t="shared" si="6"/>
        <v>3</v>
      </c>
      <c r="U42" s="189">
        <f t="shared" si="7"/>
        <v>48</v>
      </c>
    </row>
    <row r="43" spans="2:21">
      <c r="B43" s="483"/>
      <c r="C43" s="486"/>
      <c r="D43" s="176" t="s">
        <v>710</v>
      </c>
      <c r="E43" s="177" t="s">
        <v>662</v>
      </c>
      <c r="F43" s="176">
        <v>30</v>
      </c>
      <c r="G43" s="176">
        <v>3</v>
      </c>
      <c r="H43" s="187"/>
      <c r="I43" s="187">
        <f t="shared" si="0"/>
        <v>0</v>
      </c>
      <c r="J43" s="187"/>
      <c r="K43" s="187">
        <f t="shared" si="1"/>
        <v>0</v>
      </c>
      <c r="L43" s="187"/>
      <c r="M43" s="187">
        <f t="shared" si="2"/>
        <v>0</v>
      </c>
      <c r="N43" s="187"/>
      <c r="O43" s="187">
        <f t="shared" si="3"/>
        <v>0</v>
      </c>
      <c r="P43" s="187"/>
      <c r="Q43" s="187">
        <f t="shared" si="4"/>
        <v>0</v>
      </c>
      <c r="R43" s="187">
        <v>8</v>
      </c>
      <c r="S43" s="187">
        <f t="shared" si="5"/>
        <v>128</v>
      </c>
      <c r="T43" s="188">
        <f t="shared" si="6"/>
        <v>8</v>
      </c>
      <c r="U43" s="189">
        <f t="shared" si="7"/>
        <v>128</v>
      </c>
    </row>
    <row r="44" spans="2:21" ht="18" thickBot="1">
      <c r="B44" s="484"/>
      <c r="C44" s="487"/>
      <c r="D44" s="488" t="s">
        <v>16</v>
      </c>
      <c r="E44" s="489"/>
      <c r="F44" s="183">
        <f>SUM(F41:F43)</f>
        <v>100</v>
      </c>
      <c r="G44" s="183">
        <f>SUM(G41:G43)</f>
        <v>10</v>
      </c>
      <c r="H44" s="193"/>
      <c r="I44" s="194">
        <f t="shared" si="0"/>
        <v>0</v>
      </c>
      <c r="J44" s="193"/>
      <c r="K44" s="194">
        <f t="shared" si="1"/>
        <v>0</v>
      </c>
      <c r="L44" s="193"/>
      <c r="M44" s="194">
        <f t="shared" si="2"/>
        <v>0</v>
      </c>
      <c r="N44" s="193"/>
      <c r="O44" s="194">
        <f t="shared" si="3"/>
        <v>0</v>
      </c>
      <c r="P44" s="193">
        <f>SUM(P41:P43)</f>
        <v>6</v>
      </c>
      <c r="Q44" s="194">
        <f t="shared" si="4"/>
        <v>96</v>
      </c>
      <c r="R44" s="193">
        <f>SUM(R41:R43)</f>
        <v>8</v>
      </c>
      <c r="S44" s="194">
        <f t="shared" si="5"/>
        <v>128</v>
      </c>
      <c r="T44" s="194">
        <f>SUM(T41:T43)</f>
        <v>14</v>
      </c>
      <c r="U44" s="195">
        <f t="shared" si="7"/>
        <v>224</v>
      </c>
    </row>
  </sheetData>
  <mergeCells count="51"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D44:E44"/>
    <mergeCell ref="D40:E40"/>
    <mergeCell ref="D36:E36"/>
    <mergeCell ref="D17:E17"/>
    <mergeCell ref="D12:E12"/>
    <mergeCell ref="D22:E22"/>
    <mergeCell ref="D31:E31"/>
    <mergeCell ref="D26:E26"/>
    <mergeCell ref="B13:B17"/>
    <mergeCell ref="B37:B40"/>
    <mergeCell ref="B41:B44"/>
    <mergeCell ref="C9:C12"/>
    <mergeCell ref="C13:C17"/>
    <mergeCell ref="B32:B36"/>
    <mergeCell ref="C18:C22"/>
    <mergeCell ref="B9:B12"/>
    <mergeCell ref="B18:B22"/>
    <mergeCell ref="B23:B26"/>
    <mergeCell ref="B27:B31"/>
    <mergeCell ref="C23:C26"/>
    <mergeCell ref="C27:C31"/>
    <mergeCell ref="C32:C36"/>
    <mergeCell ref="C37:C40"/>
    <mergeCell ref="C41:C44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</mergeCells>
  <phoneticPr fontId="9" type="noConversion"/>
  <pageMargins left="0.17" right="0.17" top="0.17" bottom="0.17" header="0.17" footer="0.17"/>
  <pageSetup paperSize="9" scale="46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D640-BA75-400E-B375-75B808E8B21D}">
  <sheetPr>
    <pageSetUpPr fitToPage="1"/>
  </sheetPr>
  <dimension ref="B1:AD91"/>
  <sheetViews>
    <sheetView view="pageBreakPreview" topLeftCell="B1" zoomScale="115" zoomScaleNormal="100" zoomScaleSheetLayoutView="115" workbookViewId="0">
      <pane ySplit="8" topLeftCell="A39" activePane="bottomLeft" state="frozen"/>
      <selection pane="bottomLeft" activeCell="F45" sqref="F45:G45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12.0976562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5" style="4" customWidth="1"/>
    <col min="28" max="28" width="11.5" style="4" customWidth="1"/>
    <col min="29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449" t="s">
        <v>669</v>
      </c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50"/>
      <c r="V2" s="451" t="s">
        <v>130</v>
      </c>
      <c r="W2" s="452"/>
      <c r="X2" s="447">
        <v>2027</v>
      </c>
      <c r="Y2" s="448"/>
      <c r="AA2" s="453" t="s">
        <v>143</v>
      </c>
      <c r="AB2" s="18" t="s">
        <v>144</v>
      </c>
      <c r="AC2" s="28" t="s">
        <v>150</v>
      </c>
      <c r="AD2" s="19" t="s">
        <v>145</v>
      </c>
    </row>
    <row r="3" spans="2:30" ht="18" thickBot="1">
      <c r="B3" s="436" t="s">
        <v>359</v>
      </c>
      <c r="C3" s="438" t="s">
        <v>53</v>
      </c>
      <c r="D3" s="439"/>
      <c r="E3" s="439"/>
      <c r="F3" s="438" t="s">
        <v>64</v>
      </c>
      <c r="G3" s="442"/>
      <c r="H3" s="438" t="s">
        <v>54</v>
      </c>
      <c r="I3" s="439"/>
      <c r="J3" s="439"/>
      <c r="K3" s="438" t="s">
        <v>55</v>
      </c>
      <c r="L3" s="439"/>
      <c r="M3" s="439"/>
      <c r="N3" s="439"/>
      <c r="O3" s="442"/>
      <c r="P3" s="444" t="s">
        <v>56</v>
      </c>
      <c r="Q3" s="445"/>
      <c r="R3" s="445"/>
      <c r="S3" s="445"/>
      <c r="T3" s="445"/>
      <c r="U3" s="445"/>
      <c r="V3" s="445"/>
      <c r="W3" s="445"/>
      <c r="X3" s="445"/>
      <c r="Y3" s="446"/>
      <c r="AA3" s="454"/>
      <c r="AB3" s="20" t="s">
        <v>146</v>
      </c>
      <c r="AC3" s="40" t="s">
        <v>667</v>
      </c>
      <c r="AD3" s="21">
        <v>102</v>
      </c>
    </row>
    <row r="4" spans="2:30" ht="18" thickBot="1">
      <c r="B4" s="437"/>
      <c r="C4" s="440"/>
      <c r="D4" s="441"/>
      <c r="E4" s="441"/>
      <c r="F4" s="440"/>
      <c r="G4" s="443"/>
      <c r="H4" s="440"/>
      <c r="I4" s="441"/>
      <c r="J4" s="441"/>
      <c r="K4" s="440"/>
      <c r="L4" s="441"/>
      <c r="M4" s="441"/>
      <c r="N4" s="441"/>
      <c r="O4" s="443"/>
      <c r="P4" s="444" t="s">
        <v>127</v>
      </c>
      <c r="Q4" s="445"/>
      <c r="R4" s="445"/>
      <c r="S4" s="445"/>
      <c r="T4" s="444" t="s">
        <v>61</v>
      </c>
      <c r="U4" s="445"/>
      <c r="V4" s="446"/>
      <c r="W4" s="445" t="s">
        <v>128</v>
      </c>
      <c r="X4" s="445"/>
      <c r="Y4" s="446"/>
      <c r="AA4" s="454"/>
      <c r="AB4" s="22" t="s">
        <v>147</v>
      </c>
      <c r="AC4" s="41" t="s">
        <v>512</v>
      </c>
      <c r="AD4" s="21">
        <v>113</v>
      </c>
    </row>
    <row r="5" spans="2:30" ht="26.25" customHeight="1" thickBot="1">
      <c r="B5" s="74" t="s">
        <v>513</v>
      </c>
      <c r="C5" s="402" t="s">
        <v>514</v>
      </c>
      <c r="D5" s="403"/>
      <c r="E5" s="404"/>
      <c r="F5" s="402" t="s">
        <v>542</v>
      </c>
      <c r="G5" s="405"/>
      <c r="H5" s="406" t="s">
        <v>543</v>
      </c>
      <c r="I5" s="403"/>
      <c r="J5" s="404"/>
      <c r="K5" s="402" t="s">
        <v>544</v>
      </c>
      <c r="L5" s="403"/>
      <c r="M5" s="403"/>
      <c r="N5" s="403"/>
      <c r="O5" s="405"/>
      <c r="P5" s="406" t="s">
        <v>545</v>
      </c>
      <c r="Q5" s="403"/>
      <c r="R5" s="403"/>
      <c r="S5" s="404"/>
      <c r="T5" s="402" t="s">
        <v>519</v>
      </c>
      <c r="U5" s="403"/>
      <c r="V5" s="404"/>
      <c r="W5" s="407" t="s">
        <v>546</v>
      </c>
      <c r="X5" s="408"/>
      <c r="Y5" s="409"/>
      <c r="AA5" s="455"/>
      <c r="AB5" s="23" t="s">
        <v>148</v>
      </c>
      <c r="AC5" s="42" t="s">
        <v>668</v>
      </c>
      <c r="AD5" s="143">
        <v>116141</v>
      </c>
    </row>
    <row r="6" spans="2:30" ht="15.75" customHeight="1" thickBot="1">
      <c r="U6" s="410"/>
      <c r="V6" s="410"/>
      <c r="W6" s="410"/>
      <c r="X6" s="410"/>
      <c r="Y6" s="410"/>
    </row>
    <row r="7" spans="2:30" s="9" customFormat="1" ht="22.5" customHeight="1">
      <c r="B7" s="411" t="s">
        <v>2</v>
      </c>
      <c r="C7" s="412"/>
      <c r="D7" s="415" t="s">
        <v>120</v>
      </c>
      <c r="E7" s="417" t="s">
        <v>57</v>
      </c>
      <c r="F7" s="418"/>
      <c r="G7" s="419"/>
      <c r="H7" s="420" t="s">
        <v>133</v>
      </c>
      <c r="I7" s="423" t="s">
        <v>134</v>
      </c>
      <c r="J7" s="427" t="s">
        <v>135</v>
      </c>
      <c r="K7" s="422" t="s">
        <v>58</v>
      </c>
      <c r="L7" s="423"/>
      <c r="M7" s="423"/>
      <c r="N7" s="424"/>
      <c r="O7" s="425" t="s">
        <v>59</v>
      </c>
      <c r="P7" s="423"/>
      <c r="Q7" s="423"/>
      <c r="R7" s="424"/>
      <c r="S7" s="422" t="s">
        <v>60</v>
      </c>
      <c r="T7" s="423"/>
      <c r="U7" s="423"/>
      <c r="V7" s="426"/>
      <c r="W7" s="420" t="s">
        <v>136</v>
      </c>
      <c r="X7" s="427"/>
      <c r="Y7" s="419" t="s">
        <v>137</v>
      </c>
      <c r="Z7" s="8"/>
    </row>
    <row r="8" spans="2:30" s="9" customFormat="1" ht="22.5" customHeight="1" thickBot="1">
      <c r="B8" s="413"/>
      <c r="C8" s="414"/>
      <c r="D8" s="416"/>
      <c r="E8" s="24" t="s">
        <v>18</v>
      </c>
      <c r="F8" s="430" t="s">
        <v>19</v>
      </c>
      <c r="G8" s="431"/>
      <c r="H8" s="421"/>
      <c r="I8" s="433"/>
      <c r="J8" s="428"/>
      <c r="K8" s="432" t="s">
        <v>0</v>
      </c>
      <c r="L8" s="433"/>
      <c r="M8" s="433" t="s">
        <v>62</v>
      </c>
      <c r="N8" s="434"/>
      <c r="O8" s="435" t="s">
        <v>0</v>
      </c>
      <c r="P8" s="433"/>
      <c r="Q8" s="433" t="s">
        <v>62</v>
      </c>
      <c r="R8" s="434"/>
      <c r="S8" s="432" t="s">
        <v>0</v>
      </c>
      <c r="T8" s="433"/>
      <c r="U8" s="433" t="s">
        <v>62</v>
      </c>
      <c r="V8" s="456"/>
      <c r="W8" s="421"/>
      <c r="X8" s="428"/>
      <c r="Y8" s="429"/>
      <c r="AA8" s="297" t="s">
        <v>499</v>
      </c>
      <c r="AB8" s="297"/>
      <c r="AC8" s="297"/>
      <c r="AD8" s="297"/>
    </row>
    <row r="9" spans="2:30" ht="16.5" customHeight="1" thickBot="1">
      <c r="B9" s="282" t="s">
        <v>336</v>
      </c>
      <c r="C9" s="283"/>
      <c r="D9" s="286" t="s">
        <v>21</v>
      </c>
      <c r="E9" s="43" t="s">
        <v>12</v>
      </c>
      <c r="F9" s="544" t="s">
        <v>200</v>
      </c>
      <c r="G9" s="545"/>
      <c r="H9" s="44">
        <v>4</v>
      </c>
      <c r="I9" s="45" t="s">
        <v>337</v>
      </c>
      <c r="J9" s="46">
        <v>3</v>
      </c>
      <c r="K9" s="544">
        <v>3</v>
      </c>
      <c r="L9" s="511"/>
      <c r="M9" s="512"/>
      <c r="N9" s="513"/>
      <c r="O9" s="510"/>
      <c r="P9" s="511"/>
      <c r="Q9" s="512"/>
      <c r="R9" s="513"/>
      <c r="S9" s="510"/>
      <c r="T9" s="511"/>
      <c r="U9" s="512"/>
      <c r="V9" s="545"/>
      <c r="W9" s="47">
        <f>SUM(K9:V9)</f>
        <v>3</v>
      </c>
      <c r="X9" s="399">
        <f>SUM(W9:W11)</f>
        <v>9</v>
      </c>
      <c r="Y9" s="394">
        <v>24</v>
      </c>
      <c r="AA9" s="134" t="s">
        <v>18</v>
      </c>
      <c r="AB9" s="135" t="s">
        <v>505</v>
      </c>
      <c r="AC9" s="135" t="s">
        <v>506</v>
      </c>
      <c r="AD9" s="136" t="s">
        <v>507</v>
      </c>
    </row>
    <row r="10" spans="2:30" ht="18" thickBot="1">
      <c r="B10" s="284"/>
      <c r="C10" s="285"/>
      <c r="D10" s="287"/>
      <c r="E10" s="48" t="s">
        <v>12</v>
      </c>
      <c r="F10" s="533" t="s">
        <v>201</v>
      </c>
      <c r="G10" s="534"/>
      <c r="H10" s="49">
        <v>4</v>
      </c>
      <c r="I10" s="50" t="s">
        <v>337</v>
      </c>
      <c r="J10" s="51">
        <v>3</v>
      </c>
      <c r="K10" s="533"/>
      <c r="L10" s="523"/>
      <c r="M10" s="520">
        <v>3</v>
      </c>
      <c r="N10" s="524"/>
      <c r="O10" s="522"/>
      <c r="P10" s="523"/>
      <c r="Q10" s="520"/>
      <c r="R10" s="524"/>
      <c r="S10" s="522"/>
      <c r="T10" s="523"/>
      <c r="U10" s="520"/>
      <c r="V10" s="534"/>
      <c r="W10" s="52">
        <f t="shared" ref="W10:W22" si="0">SUM(K10:V10)</f>
        <v>3</v>
      </c>
      <c r="X10" s="401"/>
      <c r="Y10" s="394"/>
      <c r="AA10" s="137" t="s">
        <v>501</v>
      </c>
      <c r="AB10" s="138">
        <v>4</v>
      </c>
      <c r="AC10" s="138">
        <v>-1</v>
      </c>
      <c r="AD10" s="21" t="s">
        <v>337</v>
      </c>
    </row>
    <row r="11" spans="2:30" ht="18" thickBot="1">
      <c r="B11" s="284"/>
      <c r="C11" s="285"/>
      <c r="D11" s="288"/>
      <c r="E11" s="53" t="s">
        <v>338</v>
      </c>
      <c r="F11" s="546" t="s">
        <v>206</v>
      </c>
      <c r="G11" s="547"/>
      <c r="H11" s="54">
        <v>4</v>
      </c>
      <c r="I11" s="55" t="s">
        <v>339</v>
      </c>
      <c r="J11" s="56">
        <v>3</v>
      </c>
      <c r="K11" s="546"/>
      <c r="L11" s="516"/>
      <c r="M11" s="517"/>
      <c r="N11" s="518"/>
      <c r="O11" s="515"/>
      <c r="P11" s="516"/>
      <c r="Q11" s="517">
        <v>3</v>
      </c>
      <c r="R11" s="518"/>
      <c r="S11" s="515"/>
      <c r="T11" s="516"/>
      <c r="U11" s="517"/>
      <c r="V11" s="547"/>
      <c r="W11" s="52">
        <f t="shared" si="0"/>
        <v>3</v>
      </c>
      <c r="X11" s="401"/>
      <c r="Y11" s="394"/>
      <c r="AA11" s="137" t="s">
        <v>502</v>
      </c>
      <c r="AB11" s="138">
        <v>3</v>
      </c>
      <c r="AC11" s="138"/>
      <c r="AD11" s="21">
        <v>3</v>
      </c>
    </row>
    <row r="12" spans="2:30" ht="18" thickBot="1">
      <c r="B12" s="284"/>
      <c r="C12" s="285"/>
      <c r="D12" s="286" t="s">
        <v>5</v>
      </c>
      <c r="E12" s="43" t="s">
        <v>12</v>
      </c>
      <c r="F12" s="544" t="s">
        <v>212</v>
      </c>
      <c r="G12" s="545"/>
      <c r="H12" s="44">
        <v>4</v>
      </c>
      <c r="I12" s="45" t="s">
        <v>337</v>
      </c>
      <c r="J12" s="46">
        <v>3</v>
      </c>
      <c r="K12" s="544">
        <v>3</v>
      </c>
      <c r="L12" s="511"/>
      <c r="M12" s="512"/>
      <c r="N12" s="513"/>
      <c r="O12" s="510"/>
      <c r="P12" s="511"/>
      <c r="Q12" s="512"/>
      <c r="R12" s="513"/>
      <c r="S12" s="510"/>
      <c r="T12" s="511"/>
      <c r="U12" s="512"/>
      <c r="V12" s="545"/>
      <c r="W12" s="47">
        <f t="shared" si="0"/>
        <v>3</v>
      </c>
      <c r="X12" s="399">
        <f>SUM(W12:W13)</f>
        <v>6</v>
      </c>
      <c r="Y12" s="394"/>
      <c r="AA12" s="137" t="s">
        <v>503</v>
      </c>
      <c r="AB12" s="138">
        <v>4</v>
      </c>
      <c r="AC12" s="138" t="s">
        <v>511</v>
      </c>
      <c r="AD12" s="21" t="s">
        <v>339</v>
      </c>
    </row>
    <row r="13" spans="2:30" ht="18" thickBot="1">
      <c r="B13" s="284"/>
      <c r="C13" s="285"/>
      <c r="D13" s="287"/>
      <c r="E13" s="48" t="s">
        <v>12</v>
      </c>
      <c r="F13" s="533" t="s">
        <v>214</v>
      </c>
      <c r="G13" s="534"/>
      <c r="H13" s="49">
        <v>4</v>
      </c>
      <c r="I13" s="50" t="s">
        <v>337</v>
      </c>
      <c r="J13" s="51">
        <v>3</v>
      </c>
      <c r="K13" s="533"/>
      <c r="L13" s="523"/>
      <c r="M13" s="520">
        <v>3</v>
      </c>
      <c r="N13" s="524"/>
      <c r="O13" s="522"/>
      <c r="P13" s="523"/>
      <c r="Q13" s="520"/>
      <c r="R13" s="524"/>
      <c r="S13" s="522"/>
      <c r="T13" s="523"/>
      <c r="U13" s="520"/>
      <c r="V13" s="534"/>
      <c r="W13" s="52">
        <f t="shared" si="0"/>
        <v>3</v>
      </c>
      <c r="X13" s="401"/>
      <c r="Y13" s="394"/>
      <c r="AA13" s="137" t="s">
        <v>504</v>
      </c>
      <c r="AB13" s="138">
        <v>3</v>
      </c>
      <c r="AC13" s="138" t="s">
        <v>511</v>
      </c>
      <c r="AD13" s="21" t="s">
        <v>348</v>
      </c>
    </row>
    <row r="14" spans="2:30" ht="18" thickBot="1">
      <c r="B14" s="284"/>
      <c r="C14" s="285"/>
      <c r="D14" s="286" t="s">
        <v>6</v>
      </c>
      <c r="E14" s="43" t="s">
        <v>12</v>
      </c>
      <c r="F14" s="544" t="s">
        <v>219</v>
      </c>
      <c r="G14" s="545"/>
      <c r="H14" s="44">
        <v>4</v>
      </c>
      <c r="I14" s="45" t="s">
        <v>337</v>
      </c>
      <c r="J14" s="46">
        <v>3</v>
      </c>
      <c r="K14" s="544">
        <v>3</v>
      </c>
      <c r="L14" s="511"/>
      <c r="M14" s="512"/>
      <c r="N14" s="513"/>
      <c r="O14" s="510"/>
      <c r="P14" s="511"/>
      <c r="Q14" s="512"/>
      <c r="R14" s="513"/>
      <c r="S14" s="510"/>
      <c r="T14" s="511"/>
      <c r="U14" s="512"/>
      <c r="V14" s="545"/>
      <c r="W14" s="47">
        <f t="shared" si="0"/>
        <v>3</v>
      </c>
      <c r="X14" s="399">
        <f t="shared" ref="X14" si="1">SUM(W14:W16)</f>
        <v>9</v>
      </c>
      <c r="Y14" s="394"/>
      <c r="AA14" s="647" t="s">
        <v>665</v>
      </c>
      <c r="AB14" s="648" t="s">
        <v>666</v>
      </c>
      <c r="AC14" s="648"/>
      <c r="AD14" s="649"/>
    </row>
    <row r="15" spans="2:30" ht="18" thickBot="1">
      <c r="B15" s="284"/>
      <c r="C15" s="285"/>
      <c r="D15" s="287"/>
      <c r="E15" s="48" t="s">
        <v>12</v>
      </c>
      <c r="F15" s="533" t="s">
        <v>225</v>
      </c>
      <c r="G15" s="534"/>
      <c r="H15" s="49">
        <v>4</v>
      </c>
      <c r="I15" s="50" t="s">
        <v>337</v>
      </c>
      <c r="J15" s="51">
        <v>3</v>
      </c>
      <c r="K15" s="533"/>
      <c r="L15" s="523"/>
      <c r="M15" s="520">
        <v>3</v>
      </c>
      <c r="N15" s="524"/>
      <c r="O15" s="522"/>
      <c r="P15" s="523"/>
      <c r="Q15" s="520"/>
      <c r="R15" s="524"/>
      <c r="S15" s="522"/>
      <c r="T15" s="523"/>
      <c r="U15" s="520"/>
      <c r="V15" s="534"/>
      <c r="W15" s="52">
        <f t="shared" si="0"/>
        <v>3</v>
      </c>
      <c r="X15" s="401"/>
      <c r="Y15" s="394"/>
    </row>
    <row r="16" spans="2:30" ht="18" thickBot="1">
      <c r="B16" s="284"/>
      <c r="C16" s="285"/>
      <c r="D16" s="288"/>
      <c r="E16" s="57" t="s">
        <v>338</v>
      </c>
      <c r="F16" s="546" t="s">
        <v>670</v>
      </c>
      <c r="G16" s="547"/>
      <c r="H16" s="54">
        <v>4</v>
      </c>
      <c r="I16" s="55" t="s">
        <v>339</v>
      </c>
      <c r="J16" s="56">
        <v>3</v>
      </c>
      <c r="K16" s="264"/>
      <c r="L16" s="236"/>
      <c r="M16" s="251"/>
      <c r="N16" s="252"/>
      <c r="O16" s="515">
        <v>3</v>
      </c>
      <c r="P16" s="516"/>
      <c r="Q16" s="517"/>
      <c r="R16" s="518"/>
      <c r="S16" s="515"/>
      <c r="T16" s="516"/>
      <c r="U16" s="517"/>
      <c r="V16" s="547"/>
      <c r="W16" s="52">
        <f t="shared" si="0"/>
        <v>3</v>
      </c>
      <c r="X16" s="401"/>
      <c r="Y16" s="394"/>
    </row>
    <row r="17" spans="2:29" ht="18" thickBot="1">
      <c r="B17" s="284"/>
      <c r="C17" s="285"/>
      <c r="D17" s="286" t="s">
        <v>341</v>
      </c>
      <c r="E17" s="43" t="s">
        <v>12</v>
      </c>
      <c r="F17" s="544" t="s">
        <v>233</v>
      </c>
      <c r="G17" s="545"/>
      <c r="H17" s="44">
        <v>3</v>
      </c>
      <c r="I17" s="58" t="s">
        <v>342</v>
      </c>
      <c r="J17" s="46">
        <v>3</v>
      </c>
      <c r="K17" s="550"/>
      <c r="L17" s="551"/>
      <c r="M17" s="506"/>
      <c r="N17" s="552"/>
      <c r="O17" s="553">
        <v>3</v>
      </c>
      <c r="P17" s="551"/>
      <c r="Q17" s="506"/>
      <c r="R17" s="552"/>
      <c r="S17" s="553"/>
      <c r="T17" s="551"/>
      <c r="U17" s="506"/>
      <c r="V17" s="554"/>
      <c r="W17" s="47">
        <f t="shared" si="0"/>
        <v>3</v>
      </c>
      <c r="X17" s="399">
        <f>SUM(W17:W18)</f>
        <v>6</v>
      </c>
      <c r="Y17" s="394">
        <v>6</v>
      </c>
    </row>
    <row r="18" spans="2:29" ht="18" thickBot="1">
      <c r="B18" s="284"/>
      <c r="C18" s="285"/>
      <c r="D18" s="287"/>
      <c r="E18" s="59" t="s">
        <v>12</v>
      </c>
      <c r="F18" s="548" t="s">
        <v>234</v>
      </c>
      <c r="G18" s="549"/>
      <c r="H18" s="60">
        <v>3</v>
      </c>
      <c r="I18" s="61" t="s">
        <v>342</v>
      </c>
      <c r="J18" s="140">
        <v>3</v>
      </c>
      <c r="K18" s="546"/>
      <c r="L18" s="516"/>
      <c r="M18" s="517"/>
      <c r="N18" s="518"/>
      <c r="O18" s="515"/>
      <c r="P18" s="516"/>
      <c r="Q18" s="517">
        <v>3</v>
      </c>
      <c r="R18" s="518"/>
      <c r="S18" s="515"/>
      <c r="T18" s="516"/>
      <c r="U18" s="517"/>
      <c r="V18" s="547"/>
      <c r="W18" s="62">
        <f t="shared" si="0"/>
        <v>3</v>
      </c>
      <c r="X18" s="400"/>
      <c r="Y18" s="394"/>
      <c r="AA18" s="300"/>
      <c r="AB18" s="300"/>
      <c r="AC18" s="34"/>
    </row>
    <row r="19" spans="2:29" ht="18" thickBot="1">
      <c r="B19" s="284"/>
      <c r="C19" s="285"/>
      <c r="D19" s="287"/>
      <c r="E19" s="43" t="s">
        <v>12</v>
      </c>
      <c r="F19" s="544" t="s">
        <v>236</v>
      </c>
      <c r="G19" s="545"/>
      <c r="H19" s="44">
        <v>4</v>
      </c>
      <c r="I19" s="58" t="s">
        <v>337</v>
      </c>
      <c r="J19" s="46">
        <v>3</v>
      </c>
      <c r="K19" s="544">
        <v>3</v>
      </c>
      <c r="L19" s="511"/>
      <c r="M19" s="512"/>
      <c r="N19" s="513"/>
      <c r="O19" s="510"/>
      <c r="P19" s="511"/>
      <c r="Q19" s="512"/>
      <c r="R19" s="513"/>
      <c r="S19" s="510"/>
      <c r="T19" s="511"/>
      <c r="U19" s="512"/>
      <c r="V19" s="545"/>
      <c r="W19" s="47">
        <f t="shared" si="0"/>
        <v>3</v>
      </c>
      <c r="X19" s="399">
        <f>SUM(W19:W20)</f>
        <v>6</v>
      </c>
      <c r="Y19" s="394">
        <v>12</v>
      </c>
    </row>
    <row r="20" spans="2:29" ht="18" thickBot="1">
      <c r="B20" s="284"/>
      <c r="C20" s="285"/>
      <c r="D20" s="288"/>
      <c r="E20" s="57" t="s">
        <v>12</v>
      </c>
      <c r="F20" s="546" t="s">
        <v>237</v>
      </c>
      <c r="G20" s="547"/>
      <c r="H20" s="54">
        <v>4</v>
      </c>
      <c r="I20" s="55" t="s">
        <v>337</v>
      </c>
      <c r="J20" s="56">
        <v>3</v>
      </c>
      <c r="K20" s="546"/>
      <c r="L20" s="516"/>
      <c r="M20" s="517">
        <v>3</v>
      </c>
      <c r="N20" s="518"/>
      <c r="O20" s="515"/>
      <c r="P20" s="516"/>
      <c r="Q20" s="517"/>
      <c r="R20" s="518"/>
      <c r="S20" s="515"/>
      <c r="T20" s="516"/>
      <c r="U20" s="517"/>
      <c r="V20" s="547"/>
      <c r="W20" s="62">
        <f t="shared" si="0"/>
        <v>3</v>
      </c>
      <c r="X20" s="400"/>
      <c r="Y20" s="394"/>
    </row>
    <row r="21" spans="2:29" ht="18" thickBot="1">
      <c r="B21" s="284"/>
      <c r="C21" s="285"/>
      <c r="D21" s="286" t="s">
        <v>26</v>
      </c>
      <c r="E21" s="43" t="s">
        <v>12</v>
      </c>
      <c r="F21" s="544" t="s">
        <v>254</v>
      </c>
      <c r="G21" s="545"/>
      <c r="H21" s="44">
        <v>4</v>
      </c>
      <c r="I21" s="58" t="s">
        <v>337</v>
      </c>
      <c r="J21" s="46">
        <v>3</v>
      </c>
      <c r="K21" s="544">
        <v>3</v>
      </c>
      <c r="L21" s="511"/>
      <c r="M21" s="512"/>
      <c r="N21" s="513"/>
      <c r="O21" s="510"/>
      <c r="P21" s="511"/>
      <c r="Q21" s="512"/>
      <c r="R21" s="513"/>
      <c r="S21" s="510"/>
      <c r="T21" s="511"/>
      <c r="U21" s="512"/>
      <c r="V21" s="545"/>
      <c r="W21" s="47">
        <f t="shared" si="0"/>
        <v>3</v>
      </c>
      <c r="X21" s="283">
        <f>SUM(W21:W22)</f>
        <v>6</v>
      </c>
      <c r="Y21" s="394"/>
    </row>
    <row r="22" spans="2:29" ht="18" thickBot="1">
      <c r="B22" s="284"/>
      <c r="C22" s="285"/>
      <c r="D22" s="287"/>
      <c r="E22" s="48" t="s">
        <v>12</v>
      </c>
      <c r="F22" s="533" t="s">
        <v>255</v>
      </c>
      <c r="G22" s="534"/>
      <c r="H22" s="49">
        <v>4</v>
      </c>
      <c r="I22" s="50" t="s">
        <v>337</v>
      </c>
      <c r="J22" s="51">
        <v>3</v>
      </c>
      <c r="K22" s="533"/>
      <c r="L22" s="523"/>
      <c r="M22" s="520">
        <v>3</v>
      </c>
      <c r="N22" s="524"/>
      <c r="O22" s="522"/>
      <c r="P22" s="523"/>
      <c r="Q22" s="520"/>
      <c r="R22" s="524"/>
      <c r="S22" s="522"/>
      <c r="T22" s="523"/>
      <c r="U22" s="520"/>
      <c r="V22" s="534"/>
      <c r="W22" s="52">
        <f t="shared" si="0"/>
        <v>3</v>
      </c>
      <c r="X22" s="285"/>
      <c r="Y22" s="394"/>
    </row>
    <row r="23" spans="2:29" ht="16.5" customHeight="1" thickBot="1">
      <c r="B23" s="284"/>
      <c r="C23" s="285"/>
      <c r="D23" s="286" t="s">
        <v>8</v>
      </c>
      <c r="E23" s="43" t="s">
        <v>346</v>
      </c>
      <c r="F23" s="544" t="s">
        <v>347</v>
      </c>
      <c r="G23" s="545"/>
      <c r="H23" s="44">
        <v>3</v>
      </c>
      <c r="I23" s="58" t="s">
        <v>348</v>
      </c>
      <c r="J23" s="46">
        <v>2</v>
      </c>
      <c r="K23" s="544">
        <v>2</v>
      </c>
      <c r="L23" s="511"/>
      <c r="M23" s="512"/>
      <c r="N23" s="513"/>
      <c r="O23" s="510"/>
      <c r="P23" s="511"/>
      <c r="Q23" s="512"/>
      <c r="R23" s="513"/>
      <c r="S23" s="510"/>
      <c r="T23" s="511"/>
      <c r="U23" s="512"/>
      <c r="V23" s="545"/>
      <c r="W23" s="47">
        <f>SUM(K23:V23)</f>
        <v>2</v>
      </c>
      <c r="X23" s="396">
        <f>SUM(W23:W27)</f>
        <v>8</v>
      </c>
      <c r="Y23" s="394">
        <v>8</v>
      </c>
    </row>
    <row r="24" spans="2:29" ht="18" thickBot="1">
      <c r="B24" s="284"/>
      <c r="C24" s="285"/>
      <c r="D24" s="287"/>
      <c r="E24" s="48" t="s">
        <v>346</v>
      </c>
      <c r="F24" s="533" t="s">
        <v>349</v>
      </c>
      <c r="G24" s="534"/>
      <c r="H24" s="49">
        <v>3</v>
      </c>
      <c r="I24" s="50" t="s">
        <v>348</v>
      </c>
      <c r="J24" s="51">
        <v>2</v>
      </c>
      <c r="K24" s="533"/>
      <c r="L24" s="523"/>
      <c r="M24" s="520">
        <v>2</v>
      </c>
      <c r="N24" s="524"/>
      <c r="O24" s="522"/>
      <c r="P24" s="523"/>
      <c r="Q24" s="520"/>
      <c r="R24" s="524"/>
      <c r="S24" s="522"/>
      <c r="T24" s="523"/>
      <c r="U24" s="520"/>
      <c r="V24" s="534"/>
      <c r="W24" s="52">
        <f t="shared" ref="W24:W27" si="2">SUM(K24:V24)</f>
        <v>2</v>
      </c>
      <c r="X24" s="397"/>
      <c r="Y24" s="394"/>
    </row>
    <row r="25" spans="2:29" ht="18" thickBot="1">
      <c r="B25" s="284"/>
      <c r="C25" s="285"/>
      <c r="D25" s="287"/>
      <c r="E25" s="48" t="s">
        <v>338</v>
      </c>
      <c r="F25" s="533" t="s">
        <v>522</v>
      </c>
      <c r="G25" s="534"/>
      <c r="H25" s="49">
        <v>3</v>
      </c>
      <c r="I25" s="50" t="s">
        <v>348</v>
      </c>
      <c r="J25" s="51">
        <v>2</v>
      </c>
      <c r="K25" s="533"/>
      <c r="L25" s="523"/>
      <c r="M25" s="520"/>
      <c r="N25" s="524"/>
      <c r="O25" s="522">
        <v>2</v>
      </c>
      <c r="P25" s="523"/>
      <c r="Q25" s="520"/>
      <c r="R25" s="524"/>
      <c r="S25" s="522"/>
      <c r="T25" s="523"/>
      <c r="U25" s="520"/>
      <c r="V25" s="534"/>
      <c r="W25" s="52">
        <f t="shared" si="2"/>
        <v>2</v>
      </c>
      <c r="X25" s="397"/>
      <c r="Y25" s="394"/>
    </row>
    <row r="26" spans="2:29" ht="18" thickBot="1">
      <c r="B26" s="284"/>
      <c r="C26" s="285"/>
      <c r="D26" s="287"/>
      <c r="E26" s="48" t="s">
        <v>338</v>
      </c>
      <c r="F26" s="533" t="s">
        <v>367</v>
      </c>
      <c r="G26" s="534"/>
      <c r="H26" s="49">
        <v>2</v>
      </c>
      <c r="I26" s="50" t="s">
        <v>350</v>
      </c>
      <c r="J26" s="51">
        <v>1</v>
      </c>
      <c r="K26" s="533"/>
      <c r="L26" s="523"/>
      <c r="M26" s="520"/>
      <c r="N26" s="524"/>
      <c r="O26" s="522"/>
      <c r="P26" s="523"/>
      <c r="Q26" s="520">
        <v>1</v>
      </c>
      <c r="R26" s="524"/>
      <c r="S26" s="522"/>
      <c r="T26" s="523"/>
      <c r="U26" s="520"/>
      <c r="V26" s="534"/>
      <c r="W26" s="52">
        <f t="shared" si="2"/>
        <v>1</v>
      </c>
      <c r="X26" s="397"/>
      <c r="Y26" s="394"/>
    </row>
    <row r="27" spans="2:29" ht="18" thickBot="1">
      <c r="B27" s="284"/>
      <c r="C27" s="285"/>
      <c r="D27" s="288"/>
      <c r="E27" s="57" t="s">
        <v>338</v>
      </c>
      <c r="F27" s="546" t="s">
        <v>521</v>
      </c>
      <c r="G27" s="547"/>
      <c r="H27" s="54">
        <v>2</v>
      </c>
      <c r="I27" s="55" t="s">
        <v>350</v>
      </c>
      <c r="J27" s="56">
        <v>1</v>
      </c>
      <c r="K27" s="546"/>
      <c r="L27" s="516"/>
      <c r="M27" s="517"/>
      <c r="N27" s="518"/>
      <c r="O27" s="515"/>
      <c r="P27" s="516"/>
      <c r="Q27" s="517"/>
      <c r="R27" s="518"/>
      <c r="S27" s="515">
        <v>1</v>
      </c>
      <c r="T27" s="516"/>
      <c r="U27" s="517"/>
      <c r="V27" s="547"/>
      <c r="W27" s="62">
        <f t="shared" si="2"/>
        <v>1</v>
      </c>
      <c r="X27" s="398"/>
      <c r="Y27" s="394"/>
    </row>
    <row r="28" spans="2:29" ht="18" thickBot="1">
      <c r="B28" s="284"/>
      <c r="C28" s="285"/>
      <c r="D28" s="286" t="s">
        <v>28</v>
      </c>
      <c r="E28" s="43" t="s">
        <v>346</v>
      </c>
      <c r="F28" s="544" t="s">
        <v>47</v>
      </c>
      <c r="G28" s="545"/>
      <c r="H28" s="44">
        <v>3</v>
      </c>
      <c r="I28" s="63" t="s">
        <v>348</v>
      </c>
      <c r="J28" s="46">
        <v>3</v>
      </c>
      <c r="K28" s="544"/>
      <c r="L28" s="511"/>
      <c r="M28" s="512"/>
      <c r="N28" s="513"/>
      <c r="O28" s="510">
        <v>3</v>
      </c>
      <c r="P28" s="511"/>
      <c r="Q28" s="512"/>
      <c r="R28" s="513"/>
      <c r="S28" s="510"/>
      <c r="T28" s="511"/>
      <c r="U28" s="512"/>
      <c r="V28" s="545"/>
      <c r="W28" s="211">
        <f>SUM(K28:V29)</f>
        <v>6</v>
      </c>
      <c r="X28" s="212"/>
      <c r="Y28" s="394">
        <v>6</v>
      </c>
    </row>
    <row r="29" spans="2:29" ht="18" thickBot="1">
      <c r="B29" s="284"/>
      <c r="C29" s="285"/>
      <c r="D29" s="287"/>
      <c r="E29" s="53" t="s">
        <v>346</v>
      </c>
      <c r="F29" s="533" t="s">
        <v>9</v>
      </c>
      <c r="G29" s="534"/>
      <c r="H29" s="49">
        <v>3</v>
      </c>
      <c r="I29" s="50" t="s">
        <v>348</v>
      </c>
      <c r="J29" s="51">
        <v>3</v>
      </c>
      <c r="K29" s="533"/>
      <c r="L29" s="523"/>
      <c r="M29" s="520"/>
      <c r="N29" s="524"/>
      <c r="O29" s="522"/>
      <c r="P29" s="523"/>
      <c r="Q29" s="520">
        <v>3</v>
      </c>
      <c r="R29" s="524"/>
      <c r="S29" s="522"/>
      <c r="T29" s="523"/>
      <c r="U29" s="520"/>
      <c r="V29" s="534"/>
      <c r="W29" s="213"/>
      <c r="X29" s="214"/>
      <c r="Y29" s="394"/>
    </row>
    <row r="30" spans="2:29" ht="16.5" customHeight="1" thickBot="1">
      <c r="B30" s="284"/>
      <c r="C30" s="285"/>
      <c r="D30" s="291" t="s">
        <v>351</v>
      </c>
      <c r="E30" s="43" t="s">
        <v>346</v>
      </c>
      <c r="F30" s="544" t="s">
        <v>298</v>
      </c>
      <c r="G30" s="545"/>
      <c r="H30" s="44">
        <v>3</v>
      </c>
      <c r="I30" s="58" t="s">
        <v>348</v>
      </c>
      <c r="J30" s="46">
        <v>4</v>
      </c>
      <c r="K30" s="544"/>
      <c r="L30" s="511"/>
      <c r="M30" s="512"/>
      <c r="N30" s="513"/>
      <c r="O30" s="510"/>
      <c r="P30" s="511"/>
      <c r="Q30" s="512">
        <v>4</v>
      </c>
      <c r="R30" s="513"/>
      <c r="S30" s="510"/>
      <c r="T30" s="511"/>
      <c r="U30" s="512"/>
      <c r="V30" s="545"/>
      <c r="W30" s="211">
        <f>SUM(K30:V31)</f>
        <v>8</v>
      </c>
      <c r="X30" s="212"/>
      <c r="Y30" s="394">
        <v>8</v>
      </c>
    </row>
    <row r="31" spans="2:29" ht="16.2" customHeight="1" thickBot="1">
      <c r="B31" s="284"/>
      <c r="C31" s="285"/>
      <c r="D31" s="292"/>
      <c r="E31" s="53" t="s">
        <v>346</v>
      </c>
      <c r="F31" s="533" t="s">
        <v>547</v>
      </c>
      <c r="G31" s="534"/>
      <c r="H31" s="49">
        <v>3</v>
      </c>
      <c r="I31" s="50" t="s">
        <v>348</v>
      </c>
      <c r="J31" s="51">
        <v>4</v>
      </c>
      <c r="K31" s="533"/>
      <c r="L31" s="523"/>
      <c r="M31" s="520">
        <v>4</v>
      </c>
      <c r="N31" s="524"/>
      <c r="O31" s="522"/>
      <c r="P31" s="523"/>
      <c r="Q31" s="520"/>
      <c r="R31" s="524"/>
      <c r="S31" s="522"/>
      <c r="T31" s="523"/>
      <c r="U31" s="520"/>
      <c r="V31" s="534"/>
      <c r="W31" s="213"/>
      <c r="X31" s="214"/>
      <c r="Y31" s="394"/>
    </row>
    <row r="32" spans="2:29" ht="24.75" customHeight="1" thickBot="1">
      <c r="B32" s="277" t="s">
        <v>360</v>
      </c>
      <c r="C32" s="278"/>
      <c r="D32" s="278"/>
      <c r="E32" s="278"/>
      <c r="F32" s="278"/>
      <c r="G32" s="279"/>
      <c r="H32" s="139">
        <f>SUM(H9:H31)</f>
        <v>79</v>
      </c>
      <c r="I32" s="17"/>
      <c r="J32" s="38">
        <f>SUM(J9:J31)</f>
        <v>64</v>
      </c>
      <c r="K32" s="280">
        <f>SUM(K9:L31)</f>
        <v>17</v>
      </c>
      <c r="L32" s="281"/>
      <c r="M32" s="281">
        <f>SUM(M9:N31)</f>
        <v>21</v>
      </c>
      <c r="N32" s="321"/>
      <c r="O32" s="457">
        <f>SUM(O9:P31)</f>
        <v>11</v>
      </c>
      <c r="P32" s="281"/>
      <c r="Q32" s="281">
        <f>SUM(Q9:R31)</f>
        <v>14</v>
      </c>
      <c r="R32" s="389"/>
      <c r="S32" s="320">
        <f>SUM(S9:T31)</f>
        <v>1</v>
      </c>
      <c r="T32" s="281"/>
      <c r="U32" s="281">
        <f>SUM(U9:V31)</f>
        <v>0</v>
      </c>
      <c r="V32" s="390"/>
      <c r="W32" s="277">
        <f>SUM(K32:V32)</f>
        <v>64</v>
      </c>
      <c r="X32" s="320"/>
      <c r="Y32" s="38">
        <f>SUM(Y9:Y31)</f>
        <v>64</v>
      </c>
      <c r="AA32" s="312" t="b">
        <f>W32&gt;=Y32</f>
        <v>1</v>
      </c>
      <c r="AB32" s="313"/>
    </row>
    <row r="33" spans="2:25" ht="17.25" customHeight="1">
      <c r="B33" s="540" t="s">
        <v>352</v>
      </c>
      <c r="C33" s="541"/>
      <c r="D33" s="657" t="s">
        <v>671</v>
      </c>
      <c r="E33" s="658"/>
      <c r="F33" s="672" t="s">
        <v>713</v>
      </c>
      <c r="G33" s="662"/>
      <c r="H33" s="29">
        <v>2</v>
      </c>
      <c r="I33" s="679" t="s">
        <v>672</v>
      </c>
      <c r="J33" s="680">
        <v>2</v>
      </c>
      <c r="K33" s="544"/>
      <c r="L33" s="511"/>
      <c r="M33" s="512"/>
      <c r="N33" s="513"/>
      <c r="O33" s="514"/>
      <c r="P33" s="511"/>
      <c r="Q33" s="512"/>
      <c r="R33" s="513"/>
      <c r="S33" s="514"/>
      <c r="T33" s="511"/>
      <c r="U33" s="512">
        <v>2</v>
      </c>
      <c r="V33" s="545"/>
      <c r="W33" s="665">
        <v>2</v>
      </c>
      <c r="X33" s="666"/>
      <c r="Y33" s="330">
        <v>110</v>
      </c>
    </row>
    <row r="34" spans="2:25" ht="17.25" customHeight="1" thickBot="1">
      <c r="B34" s="542"/>
      <c r="C34" s="543"/>
      <c r="D34" s="673" t="s">
        <v>353</v>
      </c>
      <c r="E34" s="674"/>
      <c r="F34" s="670" t="s">
        <v>524</v>
      </c>
      <c r="G34" s="671"/>
      <c r="H34" s="30">
        <v>2</v>
      </c>
      <c r="I34" s="675" t="s">
        <v>559</v>
      </c>
      <c r="J34" s="210">
        <v>2</v>
      </c>
      <c r="K34" s="548"/>
      <c r="L34" s="676"/>
      <c r="M34" s="508"/>
      <c r="N34" s="677"/>
      <c r="O34" s="678"/>
      <c r="P34" s="676"/>
      <c r="Q34" s="508"/>
      <c r="R34" s="677"/>
      <c r="S34" s="678">
        <v>2</v>
      </c>
      <c r="T34" s="676"/>
      <c r="U34" s="508"/>
      <c r="V34" s="549"/>
      <c r="W34" s="215">
        <f>SUM(K34:V34)</f>
        <v>2</v>
      </c>
      <c r="X34" s="216"/>
      <c r="Y34" s="357"/>
    </row>
    <row r="35" spans="2:25" ht="17.25" customHeight="1">
      <c r="B35" s="542"/>
      <c r="C35" s="543"/>
      <c r="D35" s="64" t="s">
        <v>161</v>
      </c>
      <c r="E35" s="65" t="s">
        <v>355</v>
      </c>
      <c r="F35" s="537" t="s">
        <v>714</v>
      </c>
      <c r="G35" s="538"/>
      <c r="H35" s="33">
        <v>2</v>
      </c>
      <c r="I35" s="31" t="s">
        <v>559</v>
      </c>
      <c r="J35" s="32">
        <v>5</v>
      </c>
      <c r="K35" s="533">
        <v>5</v>
      </c>
      <c r="L35" s="523"/>
      <c r="M35" s="520"/>
      <c r="N35" s="521"/>
      <c r="O35" s="522"/>
      <c r="P35" s="523"/>
      <c r="Q35" s="520"/>
      <c r="R35" s="524"/>
      <c r="S35" s="521"/>
      <c r="T35" s="523"/>
      <c r="U35" s="520"/>
      <c r="V35" s="534"/>
      <c r="W35" s="391">
        <f>SUM(K35:V35)</f>
        <v>5</v>
      </c>
      <c r="X35" s="392"/>
      <c r="Y35" s="357"/>
    </row>
    <row r="36" spans="2:25" ht="17.25" customHeight="1">
      <c r="B36" s="542"/>
      <c r="C36" s="543"/>
      <c r="D36" s="64" t="s">
        <v>555</v>
      </c>
      <c r="E36" s="65" t="s">
        <v>355</v>
      </c>
      <c r="F36" s="537" t="s">
        <v>548</v>
      </c>
      <c r="G36" s="538"/>
      <c r="H36" s="33">
        <v>2</v>
      </c>
      <c r="I36" s="31" t="s">
        <v>559</v>
      </c>
      <c r="J36" s="32">
        <v>3</v>
      </c>
      <c r="K36" s="533"/>
      <c r="L36" s="523"/>
      <c r="M36" s="520"/>
      <c r="N36" s="524"/>
      <c r="O36" s="522">
        <v>3</v>
      </c>
      <c r="P36" s="523"/>
      <c r="Q36" s="520"/>
      <c r="R36" s="524"/>
      <c r="S36" s="522"/>
      <c r="T36" s="523"/>
      <c r="U36" s="520"/>
      <c r="V36" s="534"/>
      <c r="W36" s="391">
        <f>SUM(K36:V36)</f>
        <v>3</v>
      </c>
      <c r="X36" s="392"/>
      <c r="Y36" s="357"/>
    </row>
    <row r="37" spans="2:25" ht="17.25" customHeight="1">
      <c r="B37" s="542"/>
      <c r="C37" s="543"/>
      <c r="D37" s="64" t="s">
        <v>357</v>
      </c>
      <c r="E37" s="65" t="s">
        <v>355</v>
      </c>
      <c r="F37" s="537" t="s">
        <v>549</v>
      </c>
      <c r="G37" s="538"/>
      <c r="H37" s="33">
        <v>2</v>
      </c>
      <c r="I37" s="31" t="s">
        <v>559</v>
      </c>
      <c r="J37" s="32">
        <v>4</v>
      </c>
      <c r="K37" s="533">
        <v>4</v>
      </c>
      <c r="L37" s="523"/>
      <c r="M37" s="520"/>
      <c r="N37" s="524"/>
      <c r="O37" s="522"/>
      <c r="P37" s="523"/>
      <c r="Q37" s="520"/>
      <c r="R37" s="524"/>
      <c r="S37" s="522"/>
      <c r="T37" s="523"/>
      <c r="U37" s="520"/>
      <c r="V37" s="534"/>
      <c r="W37" s="391">
        <f t="shared" ref="W37:W45" si="3">SUM(K37:V37)</f>
        <v>4</v>
      </c>
      <c r="X37" s="392"/>
      <c r="Y37" s="357"/>
    </row>
    <row r="38" spans="2:25" ht="17.25" customHeight="1">
      <c r="B38" s="542"/>
      <c r="C38" s="543"/>
      <c r="D38" s="64" t="s">
        <v>357</v>
      </c>
      <c r="E38" s="65" t="s">
        <v>355</v>
      </c>
      <c r="F38" s="535" t="s">
        <v>550</v>
      </c>
      <c r="G38" s="536"/>
      <c r="H38" s="33">
        <v>2</v>
      </c>
      <c r="I38" s="31" t="s">
        <v>559</v>
      </c>
      <c r="J38" s="32">
        <v>5</v>
      </c>
      <c r="K38" s="533"/>
      <c r="L38" s="523"/>
      <c r="M38" s="520">
        <v>5</v>
      </c>
      <c r="N38" s="524"/>
      <c r="O38" s="522"/>
      <c r="P38" s="523"/>
      <c r="Q38" s="520"/>
      <c r="R38" s="524"/>
      <c r="S38" s="522"/>
      <c r="T38" s="523"/>
      <c r="U38" s="520"/>
      <c r="V38" s="534"/>
      <c r="W38" s="391">
        <f t="shared" si="3"/>
        <v>5</v>
      </c>
      <c r="X38" s="392"/>
      <c r="Y38" s="357"/>
    </row>
    <row r="39" spans="2:25" ht="17.25" customHeight="1">
      <c r="B39" s="542"/>
      <c r="C39" s="543"/>
      <c r="D39" s="64" t="s">
        <v>357</v>
      </c>
      <c r="E39" s="65" t="s">
        <v>556</v>
      </c>
      <c r="F39" s="535" t="s">
        <v>551</v>
      </c>
      <c r="G39" s="536"/>
      <c r="H39" s="33">
        <v>2</v>
      </c>
      <c r="I39" s="31" t="s">
        <v>559</v>
      </c>
      <c r="J39" s="32">
        <v>2</v>
      </c>
      <c r="K39" s="533"/>
      <c r="L39" s="523"/>
      <c r="M39" s="520"/>
      <c r="N39" s="524"/>
      <c r="O39" s="522">
        <v>2</v>
      </c>
      <c r="P39" s="523"/>
      <c r="Q39" s="520"/>
      <c r="R39" s="524"/>
      <c r="S39" s="522"/>
      <c r="T39" s="523"/>
      <c r="U39" s="520"/>
      <c r="V39" s="534"/>
      <c r="W39" s="391">
        <f t="shared" ref="W39:W43" si="4">SUM(K39:V39)</f>
        <v>2</v>
      </c>
      <c r="X39" s="392"/>
      <c r="Y39" s="357"/>
    </row>
    <row r="40" spans="2:25" ht="17.25" customHeight="1">
      <c r="B40" s="542"/>
      <c r="C40" s="543"/>
      <c r="D40" s="64" t="s">
        <v>357</v>
      </c>
      <c r="E40" s="65" t="s">
        <v>355</v>
      </c>
      <c r="F40" s="535" t="s">
        <v>552</v>
      </c>
      <c r="G40" s="536"/>
      <c r="H40" s="33">
        <v>2</v>
      </c>
      <c r="I40" s="31" t="s">
        <v>559</v>
      </c>
      <c r="J40" s="32">
        <v>9</v>
      </c>
      <c r="K40" s="533"/>
      <c r="L40" s="523"/>
      <c r="M40" s="520"/>
      <c r="N40" s="524"/>
      <c r="O40" s="522"/>
      <c r="P40" s="523"/>
      <c r="Q40" s="520"/>
      <c r="R40" s="524"/>
      <c r="S40" s="522">
        <v>9</v>
      </c>
      <c r="T40" s="523"/>
      <c r="U40" s="520"/>
      <c r="V40" s="534"/>
      <c r="W40" s="391">
        <f>SUM(K40:V40)</f>
        <v>9</v>
      </c>
      <c r="X40" s="392"/>
      <c r="Y40" s="357"/>
    </row>
    <row r="41" spans="2:25" ht="17.25" customHeight="1">
      <c r="B41" s="542"/>
      <c r="C41" s="543"/>
      <c r="D41" s="64" t="s">
        <v>357</v>
      </c>
      <c r="E41" s="65" t="s">
        <v>557</v>
      </c>
      <c r="F41" s="535" t="s">
        <v>553</v>
      </c>
      <c r="G41" s="536"/>
      <c r="H41" s="33">
        <v>2</v>
      </c>
      <c r="I41" s="31" t="s">
        <v>559</v>
      </c>
      <c r="J41" s="32">
        <v>18</v>
      </c>
      <c r="K41" s="533"/>
      <c r="L41" s="523"/>
      <c r="M41" s="520"/>
      <c r="N41" s="524"/>
      <c r="O41" s="522">
        <v>8</v>
      </c>
      <c r="P41" s="523"/>
      <c r="Q41" s="520">
        <v>10</v>
      </c>
      <c r="R41" s="524"/>
      <c r="S41" s="522"/>
      <c r="T41" s="523"/>
      <c r="U41" s="520"/>
      <c r="V41" s="534"/>
      <c r="W41" s="391">
        <f>SUM(K41:V41)</f>
        <v>18</v>
      </c>
      <c r="X41" s="392"/>
      <c r="Y41" s="357"/>
    </row>
    <row r="42" spans="2:25" ht="17.25" customHeight="1">
      <c r="B42" s="542"/>
      <c r="C42" s="543"/>
      <c r="D42" s="64" t="s">
        <v>357</v>
      </c>
      <c r="E42" s="65" t="s">
        <v>654</v>
      </c>
      <c r="F42" s="681" t="s">
        <v>664</v>
      </c>
      <c r="G42" s="682"/>
      <c r="H42" s="33">
        <v>2</v>
      </c>
      <c r="I42" s="31" t="s">
        <v>655</v>
      </c>
      <c r="J42" s="32">
        <v>6</v>
      </c>
      <c r="K42" s="533">
        <v>3</v>
      </c>
      <c r="L42" s="523"/>
      <c r="M42" s="520">
        <v>3</v>
      </c>
      <c r="N42" s="524"/>
      <c r="O42" s="522"/>
      <c r="P42" s="523"/>
      <c r="Q42" s="520"/>
      <c r="R42" s="524"/>
      <c r="S42" s="522"/>
      <c r="T42" s="523"/>
      <c r="U42" s="520"/>
      <c r="V42" s="534"/>
      <c r="W42" s="391">
        <f>SUM(K42:V42)</f>
        <v>6</v>
      </c>
      <c r="X42" s="392"/>
      <c r="Y42" s="357"/>
    </row>
    <row r="43" spans="2:25" ht="17.25" customHeight="1">
      <c r="B43" s="542"/>
      <c r="C43" s="543"/>
      <c r="D43" s="64" t="s">
        <v>357</v>
      </c>
      <c r="E43" s="65" t="s">
        <v>557</v>
      </c>
      <c r="F43" s="535" t="s">
        <v>657</v>
      </c>
      <c r="G43" s="536"/>
      <c r="H43" s="33">
        <v>2</v>
      </c>
      <c r="I43" s="31" t="s">
        <v>559</v>
      </c>
      <c r="J43" s="32">
        <v>12</v>
      </c>
      <c r="K43" s="533"/>
      <c r="L43" s="523"/>
      <c r="M43" s="520"/>
      <c r="N43" s="524"/>
      <c r="O43" s="522">
        <v>6</v>
      </c>
      <c r="P43" s="523"/>
      <c r="Q43" s="520">
        <v>6</v>
      </c>
      <c r="R43" s="524"/>
      <c r="S43" s="522"/>
      <c r="T43" s="523"/>
      <c r="U43" s="520"/>
      <c r="V43" s="534"/>
      <c r="W43" s="391">
        <f t="shared" si="4"/>
        <v>12</v>
      </c>
      <c r="X43" s="392"/>
      <c r="Y43" s="357"/>
    </row>
    <row r="44" spans="2:25" ht="17.25" customHeight="1">
      <c r="B44" s="542"/>
      <c r="C44" s="543"/>
      <c r="D44" s="64" t="s">
        <v>357</v>
      </c>
      <c r="E44" s="65" t="s">
        <v>557</v>
      </c>
      <c r="F44" s="535" t="s">
        <v>563</v>
      </c>
      <c r="G44" s="536"/>
      <c r="H44" s="33">
        <v>2</v>
      </c>
      <c r="I44" s="31" t="s">
        <v>559</v>
      </c>
      <c r="J44" s="32">
        <v>8</v>
      </c>
      <c r="K44" s="533"/>
      <c r="L44" s="523"/>
      <c r="M44" s="520"/>
      <c r="N44" s="521"/>
      <c r="O44" s="522"/>
      <c r="P44" s="523"/>
      <c r="Q44" s="520"/>
      <c r="R44" s="524"/>
      <c r="S44" s="521">
        <v>4</v>
      </c>
      <c r="T44" s="523"/>
      <c r="U44" s="520">
        <v>4</v>
      </c>
      <c r="V44" s="534"/>
      <c r="W44" s="391">
        <f t="shared" si="3"/>
        <v>8</v>
      </c>
      <c r="X44" s="392"/>
      <c r="Y44" s="357"/>
    </row>
    <row r="45" spans="2:25" ht="17.25" customHeight="1" thickBot="1">
      <c r="B45" s="668"/>
      <c r="C45" s="669"/>
      <c r="D45" s="66" t="s">
        <v>555</v>
      </c>
      <c r="E45" s="65" t="s">
        <v>557</v>
      </c>
      <c r="F45" s="535" t="s">
        <v>554</v>
      </c>
      <c r="G45" s="536"/>
      <c r="H45" s="33">
        <v>2</v>
      </c>
      <c r="I45" s="142" t="s">
        <v>559</v>
      </c>
      <c r="J45" s="149">
        <v>13</v>
      </c>
      <c r="K45" s="533"/>
      <c r="L45" s="523"/>
      <c r="M45" s="520"/>
      <c r="N45" s="521"/>
      <c r="O45" s="522"/>
      <c r="P45" s="523"/>
      <c r="Q45" s="520"/>
      <c r="R45" s="524"/>
      <c r="S45" s="521">
        <v>6</v>
      </c>
      <c r="T45" s="523"/>
      <c r="U45" s="520">
        <v>7</v>
      </c>
      <c r="V45" s="534"/>
      <c r="W45" s="557">
        <f t="shared" si="3"/>
        <v>13</v>
      </c>
      <c r="X45" s="558"/>
      <c r="Y45" s="357"/>
    </row>
    <row r="46" spans="2:25" ht="20.25" customHeight="1">
      <c r="B46" s="525" t="s">
        <v>152</v>
      </c>
      <c r="C46" s="223" t="s">
        <v>560</v>
      </c>
      <c r="D46" s="150" t="s">
        <v>357</v>
      </c>
      <c r="E46" s="141" t="s">
        <v>356</v>
      </c>
      <c r="F46" s="530" t="s">
        <v>558</v>
      </c>
      <c r="G46" s="531"/>
      <c r="H46" s="29">
        <v>2</v>
      </c>
      <c r="I46" s="152" t="s">
        <v>559</v>
      </c>
      <c r="J46" s="555">
        <v>12</v>
      </c>
      <c r="K46" s="514"/>
      <c r="L46" s="511"/>
      <c r="M46" s="512"/>
      <c r="N46" s="514"/>
      <c r="O46" s="510"/>
      <c r="P46" s="511"/>
      <c r="Q46" s="512"/>
      <c r="R46" s="513"/>
      <c r="S46" s="514">
        <v>6</v>
      </c>
      <c r="T46" s="511"/>
      <c r="U46" s="506">
        <v>6</v>
      </c>
      <c r="V46" s="507"/>
      <c r="W46" s="211">
        <f>SUM(O46:V46)</f>
        <v>12</v>
      </c>
      <c r="X46" s="212"/>
      <c r="Y46" s="357"/>
    </row>
    <row r="47" spans="2:25" ht="20.25" customHeight="1" thickBot="1">
      <c r="B47" s="526"/>
      <c r="C47" s="226"/>
      <c r="D47" s="71" t="s">
        <v>357</v>
      </c>
      <c r="E47" s="70" t="s">
        <v>557</v>
      </c>
      <c r="F47" s="539" t="s">
        <v>715</v>
      </c>
      <c r="G47" s="529"/>
      <c r="H47" s="30">
        <v>2</v>
      </c>
      <c r="I47" s="153" t="s">
        <v>559</v>
      </c>
      <c r="J47" s="556"/>
      <c r="K47" s="519"/>
      <c r="L47" s="516"/>
      <c r="M47" s="517"/>
      <c r="N47" s="518"/>
      <c r="O47" s="515"/>
      <c r="P47" s="516"/>
      <c r="Q47" s="517"/>
      <c r="R47" s="518"/>
      <c r="S47" s="515">
        <v>6</v>
      </c>
      <c r="T47" s="516"/>
      <c r="U47" s="508">
        <v>6</v>
      </c>
      <c r="V47" s="509"/>
      <c r="W47" s="215"/>
      <c r="X47" s="216"/>
      <c r="Y47" s="357"/>
    </row>
    <row r="48" spans="2:25" ht="20.25" customHeight="1">
      <c r="B48" s="526"/>
      <c r="C48" s="223" t="s">
        <v>561</v>
      </c>
      <c r="D48" s="68" t="s">
        <v>357</v>
      </c>
      <c r="E48" s="69" t="s">
        <v>557</v>
      </c>
      <c r="F48" s="532" t="s">
        <v>716</v>
      </c>
      <c r="G48" s="531"/>
      <c r="H48" s="147">
        <v>2</v>
      </c>
      <c r="I48" s="152" t="s">
        <v>559</v>
      </c>
      <c r="J48" s="555">
        <v>9</v>
      </c>
      <c r="K48" s="514"/>
      <c r="L48" s="511"/>
      <c r="M48" s="512"/>
      <c r="N48" s="513"/>
      <c r="O48" s="510"/>
      <c r="P48" s="511"/>
      <c r="Q48" s="512"/>
      <c r="R48" s="513"/>
      <c r="S48" s="510"/>
      <c r="T48" s="511"/>
      <c r="U48" s="506">
        <v>9</v>
      </c>
      <c r="V48" s="554"/>
      <c r="W48" s="211">
        <f>SUM(K48:V48)</f>
        <v>9</v>
      </c>
      <c r="X48" s="212"/>
      <c r="Y48" s="357"/>
    </row>
    <row r="49" spans="2:29" ht="20.25" customHeight="1" thickBot="1">
      <c r="B49" s="527"/>
      <c r="C49" s="226"/>
      <c r="D49" s="151" t="s">
        <v>357</v>
      </c>
      <c r="E49" s="148" t="s">
        <v>356</v>
      </c>
      <c r="F49" s="528" t="s">
        <v>717</v>
      </c>
      <c r="G49" s="529"/>
      <c r="H49" s="37">
        <v>2</v>
      </c>
      <c r="I49" s="153" t="s">
        <v>559</v>
      </c>
      <c r="J49" s="556"/>
      <c r="K49" s="519"/>
      <c r="L49" s="516"/>
      <c r="M49" s="517"/>
      <c r="N49" s="519"/>
      <c r="O49" s="515"/>
      <c r="P49" s="516"/>
      <c r="Q49" s="517"/>
      <c r="R49" s="518"/>
      <c r="S49" s="519"/>
      <c r="T49" s="516"/>
      <c r="U49" s="508">
        <v>9</v>
      </c>
      <c r="V49" s="549"/>
      <c r="W49" s="215"/>
      <c r="X49" s="216"/>
      <c r="Y49" s="331"/>
    </row>
    <row r="50" spans="2:29" ht="24.75" customHeight="1">
      <c r="B50" s="326" t="s">
        <v>361</v>
      </c>
      <c r="C50" s="322"/>
      <c r="D50" s="322"/>
      <c r="E50" s="322"/>
      <c r="F50" s="322"/>
      <c r="G50" s="327"/>
      <c r="H50" s="367">
        <f>SUM(H34:H49)</f>
        <v>32</v>
      </c>
      <c r="I50" s="369"/>
      <c r="J50" s="505">
        <v>110</v>
      </c>
      <c r="K50" s="326">
        <f>SUM(K34:L49)</f>
        <v>12</v>
      </c>
      <c r="L50" s="323"/>
      <c r="M50" s="332">
        <f>SUM(M34:N49)</f>
        <v>8</v>
      </c>
      <c r="N50" s="322"/>
      <c r="O50" s="334">
        <f>SUM(O34:P49)</f>
        <v>19</v>
      </c>
      <c r="P50" s="323"/>
      <c r="Q50" s="332">
        <f>SUM(Q34:R49)</f>
        <v>16</v>
      </c>
      <c r="R50" s="373"/>
      <c r="S50" s="322">
        <f>SUM(S34:T46)</f>
        <v>27</v>
      </c>
      <c r="T50" s="323"/>
      <c r="U50" s="332">
        <v>28</v>
      </c>
      <c r="V50" s="327"/>
      <c r="W50" s="503">
        <v>110</v>
      </c>
      <c r="X50" s="504"/>
      <c r="Y50" s="330">
        <f>SUM(Y33:Y49)</f>
        <v>110</v>
      </c>
      <c r="AC50" s="34"/>
    </row>
    <row r="51" spans="2:29" ht="18" thickBot="1">
      <c r="B51" s="328"/>
      <c r="C51" s="324"/>
      <c r="D51" s="324"/>
      <c r="E51" s="324"/>
      <c r="F51" s="324"/>
      <c r="G51" s="329"/>
      <c r="H51" s="368"/>
      <c r="I51" s="370"/>
      <c r="J51" s="372"/>
      <c r="K51" s="328"/>
      <c r="L51" s="325"/>
      <c r="M51" s="333"/>
      <c r="N51" s="324"/>
      <c r="O51" s="335"/>
      <c r="P51" s="325"/>
      <c r="Q51" s="333"/>
      <c r="R51" s="374"/>
      <c r="S51" s="324"/>
      <c r="T51" s="325"/>
      <c r="U51" s="333"/>
      <c r="V51" s="329"/>
      <c r="W51" s="328"/>
      <c r="X51" s="329"/>
      <c r="Y51" s="331"/>
      <c r="AC51" s="72"/>
    </row>
    <row r="52" spans="2:29" ht="17.25" customHeight="1" thickBot="1">
      <c r="B52" s="277"/>
      <c r="C52" s="278"/>
      <c r="D52" s="278"/>
      <c r="E52" s="278"/>
      <c r="F52" s="278"/>
      <c r="G52" s="279"/>
      <c r="H52" s="35">
        <f>SUM(H32,H50)</f>
        <v>111</v>
      </c>
      <c r="I52" s="36">
        <f>SUM(I32,I50)</f>
        <v>0</v>
      </c>
      <c r="J52" s="38">
        <f>SUM(J32,J50)</f>
        <v>174</v>
      </c>
      <c r="K52" s="277">
        <f>SUM(K32,K50)</f>
        <v>29</v>
      </c>
      <c r="L52" s="320"/>
      <c r="M52" s="321">
        <f>SUM(M32,M50)</f>
        <v>29</v>
      </c>
      <c r="N52" s="298"/>
      <c r="O52" s="299">
        <f>SUM(O32,O50)</f>
        <v>30</v>
      </c>
      <c r="P52" s="320"/>
      <c r="Q52" s="321">
        <f>SUM(Q32,Q50)</f>
        <v>30</v>
      </c>
      <c r="R52" s="298"/>
      <c r="S52" s="299">
        <f>SUM(S32,S50)</f>
        <v>28</v>
      </c>
      <c r="T52" s="320"/>
      <c r="U52" s="321">
        <f>SUM(U32,U50)</f>
        <v>28</v>
      </c>
      <c r="V52" s="279"/>
      <c r="W52" s="277">
        <v>174</v>
      </c>
      <c r="X52" s="279"/>
      <c r="Y52" s="10">
        <f>Y50+Y32</f>
        <v>174</v>
      </c>
      <c r="AA52" s="300" t="s">
        <v>153</v>
      </c>
      <c r="AB52" s="300"/>
    </row>
    <row r="53" spans="2:29" ht="18.75" customHeight="1" thickBot="1">
      <c r="B53" s="337" t="s">
        <v>362</v>
      </c>
      <c r="C53" s="338"/>
      <c r="D53" s="338"/>
      <c r="E53" s="339"/>
      <c r="F53" s="346" t="s">
        <v>358</v>
      </c>
      <c r="G53" s="347"/>
      <c r="H53" s="347"/>
      <c r="I53" s="347"/>
      <c r="J53" s="348"/>
      <c r="K53" s="349">
        <v>16</v>
      </c>
      <c r="L53" s="350"/>
      <c r="M53" s="351">
        <v>16</v>
      </c>
      <c r="N53" s="352"/>
      <c r="O53" s="353">
        <v>8</v>
      </c>
      <c r="P53" s="350"/>
      <c r="Q53" s="351">
        <v>8</v>
      </c>
      <c r="R53" s="352"/>
      <c r="S53" s="353">
        <v>24</v>
      </c>
      <c r="T53" s="350"/>
      <c r="U53" s="351">
        <v>24</v>
      </c>
      <c r="V53" s="354"/>
      <c r="W53" s="337">
        <f>SUM(K53:V55)</f>
        <v>288</v>
      </c>
      <c r="X53" s="339"/>
      <c r="Y53" s="330">
        <f>Y56*16</f>
        <v>288</v>
      </c>
      <c r="AA53" s="336"/>
      <c r="AB53" s="336"/>
    </row>
    <row r="54" spans="2:29" ht="17.25" customHeight="1" thickBot="1">
      <c r="B54" s="340"/>
      <c r="C54" s="341"/>
      <c r="D54" s="341"/>
      <c r="E54" s="342"/>
      <c r="F54" s="314" t="s">
        <v>63</v>
      </c>
      <c r="G54" s="315"/>
      <c r="H54" s="315"/>
      <c r="I54" s="315"/>
      <c r="J54" s="316"/>
      <c r="K54" s="317">
        <v>16</v>
      </c>
      <c r="L54" s="311"/>
      <c r="M54" s="318">
        <v>16</v>
      </c>
      <c r="N54" s="319"/>
      <c r="O54" s="310">
        <v>16</v>
      </c>
      <c r="P54" s="311"/>
      <c r="Q54" s="318">
        <v>16</v>
      </c>
      <c r="R54" s="319"/>
      <c r="S54" s="310">
        <v>16</v>
      </c>
      <c r="T54" s="311"/>
      <c r="U54" s="318">
        <v>16</v>
      </c>
      <c r="V54" s="359"/>
      <c r="W54" s="340"/>
      <c r="X54" s="342"/>
      <c r="Y54" s="357"/>
      <c r="AA54" s="312" t="b">
        <f>W52&gt;=Y52</f>
        <v>1</v>
      </c>
      <c r="AB54" s="313"/>
    </row>
    <row r="55" spans="2:29" ht="17.25" customHeight="1">
      <c r="B55" s="340"/>
      <c r="C55" s="341"/>
      <c r="D55" s="341"/>
      <c r="E55" s="342"/>
      <c r="F55" s="314" t="s">
        <v>11</v>
      </c>
      <c r="G55" s="315"/>
      <c r="H55" s="315"/>
      <c r="I55" s="315"/>
      <c r="J55" s="316"/>
      <c r="K55" s="317">
        <v>16</v>
      </c>
      <c r="L55" s="311"/>
      <c r="M55" s="318">
        <v>16</v>
      </c>
      <c r="N55" s="319"/>
      <c r="O55" s="310">
        <v>8</v>
      </c>
      <c r="P55" s="311"/>
      <c r="Q55" s="318">
        <v>8</v>
      </c>
      <c r="R55" s="319"/>
      <c r="S55" s="310">
        <v>24</v>
      </c>
      <c r="T55" s="311"/>
      <c r="U55" s="318">
        <v>24</v>
      </c>
      <c r="V55" s="359"/>
      <c r="W55" s="355"/>
      <c r="X55" s="356"/>
      <c r="Y55" s="358"/>
    </row>
    <row r="56" spans="2:29" ht="17.25" customHeight="1" thickBot="1">
      <c r="B56" s="343"/>
      <c r="C56" s="344"/>
      <c r="D56" s="344"/>
      <c r="E56" s="345"/>
      <c r="F56" s="301" t="s">
        <v>149</v>
      </c>
      <c r="G56" s="302"/>
      <c r="H56" s="302"/>
      <c r="I56" s="302"/>
      <c r="J56" s="303"/>
      <c r="K56" s="304">
        <v>3</v>
      </c>
      <c r="L56" s="305"/>
      <c r="M56" s="306">
        <v>3</v>
      </c>
      <c r="N56" s="307"/>
      <c r="O56" s="308">
        <v>2</v>
      </c>
      <c r="P56" s="305"/>
      <c r="Q56" s="306">
        <v>2</v>
      </c>
      <c r="R56" s="307"/>
      <c r="S56" s="308">
        <v>4</v>
      </c>
      <c r="T56" s="305"/>
      <c r="U56" s="306">
        <v>4</v>
      </c>
      <c r="V56" s="309"/>
      <c r="W56" s="301">
        <f>SUM(K56:V56)</f>
        <v>18</v>
      </c>
      <c r="X56" s="303"/>
      <c r="Y56" s="73">
        <v>18</v>
      </c>
      <c r="AA56" s="300" t="s">
        <v>154</v>
      </c>
      <c r="AB56" s="300"/>
    </row>
    <row r="57" spans="2:29" ht="17.25" customHeight="1" thickBot="1">
      <c r="B57" s="277"/>
      <c r="C57" s="278"/>
      <c r="D57" s="278"/>
      <c r="E57" s="278"/>
      <c r="F57" s="278"/>
      <c r="G57" s="278"/>
      <c r="H57" s="278"/>
      <c r="I57" s="278"/>
      <c r="J57" s="279"/>
      <c r="K57" s="277">
        <v>32</v>
      </c>
      <c r="L57" s="320"/>
      <c r="M57" s="321">
        <v>32</v>
      </c>
      <c r="N57" s="298"/>
      <c r="O57" s="299">
        <v>32</v>
      </c>
      <c r="P57" s="320"/>
      <c r="Q57" s="321">
        <v>32</v>
      </c>
      <c r="R57" s="298"/>
      <c r="S57" s="299">
        <v>32</v>
      </c>
      <c r="T57" s="320"/>
      <c r="U57" s="321">
        <v>32</v>
      </c>
      <c r="V57" s="279"/>
      <c r="W57" s="277">
        <f>SUM(K57:V57)</f>
        <v>192</v>
      </c>
      <c r="X57" s="279"/>
      <c r="Y57" s="39">
        <f>W57</f>
        <v>192</v>
      </c>
      <c r="AA57" s="312" t="b">
        <f>W56&gt;=Y56</f>
        <v>1</v>
      </c>
      <c r="AB57" s="313"/>
    </row>
    <row r="58" spans="2:29" ht="17.25" customHeight="1" thickBot="1">
      <c r="B58" s="277"/>
      <c r="C58" s="278"/>
      <c r="D58" s="278"/>
      <c r="E58" s="278"/>
      <c r="F58" s="278"/>
      <c r="G58" s="278"/>
      <c r="H58" s="278"/>
      <c r="I58" s="278"/>
      <c r="J58" s="279"/>
      <c r="K58" s="277">
        <f>SUM(K57:N57)</f>
        <v>64</v>
      </c>
      <c r="L58" s="278"/>
      <c r="M58" s="278"/>
      <c r="N58" s="298"/>
      <c r="O58" s="299">
        <f>SUM(O57:R57)</f>
        <v>64</v>
      </c>
      <c r="P58" s="278"/>
      <c r="Q58" s="278"/>
      <c r="R58" s="298"/>
      <c r="S58" s="299">
        <f>SUM(S57:V57)</f>
        <v>64</v>
      </c>
      <c r="T58" s="278"/>
      <c r="U58" s="278"/>
      <c r="V58" s="279"/>
      <c r="W58" s="277">
        <f>SUM(K58:V58)</f>
        <v>192</v>
      </c>
      <c r="X58" s="279"/>
      <c r="Y58" s="10"/>
      <c r="AA58" s="300" t="s">
        <v>151</v>
      </c>
      <c r="AB58" s="300"/>
    </row>
    <row r="59" spans="2:29" ht="17.25" customHeight="1" thickBot="1">
      <c r="AA59" s="312" t="b">
        <f>W57&gt;=Y57</f>
        <v>1</v>
      </c>
      <c r="AB59" s="313"/>
    </row>
    <row r="60" spans="2:29" ht="17.25" customHeight="1"/>
    <row r="61" spans="2:29" ht="17.25" customHeight="1"/>
    <row r="62" spans="2:29" ht="17.25" customHeight="1"/>
    <row r="64" spans="2:29" ht="24.9" customHeight="1"/>
    <row r="65" ht="24.9" customHeight="1"/>
    <row r="66" ht="32.25" customHeight="1"/>
    <row r="67" ht="24.9" customHeight="1"/>
    <row r="69" ht="16.5" customHeight="1"/>
    <row r="70" ht="17.2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244.5" customHeight="1"/>
  </sheetData>
  <mergeCells count="450">
    <mergeCell ref="AB14:AD14"/>
    <mergeCell ref="D33:E33"/>
    <mergeCell ref="F33:G33"/>
    <mergeCell ref="K33:L33"/>
    <mergeCell ref="M33:N33"/>
    <mergeCell ref="O33:P33"/>
    <mergeCell ref="Q33:R33"/>
    <mergeCell ref="S33:T33"/>
    <mergeCell ref="U33:V33"/>
    <mergeCell ref="W33:X33"/>
    <mergeCell ref="Y33:Y49"/>
    <mergeCell ref="K42:L42"/>
    <mergeCell ref="M42:N42"/>
    <mergeCell ref="O42:P42"/>
    <mergeCell ref="Q42:R42"/>
    <mergeCell ref="S42:T42"/>
    <mergeCell ref="U42:V42"/>
    <mergeCell ref="W42:X42"/>
    <mergeCell ref="W41:X41"/>
    <mergeCell ref="W43:X43"/>
    <mergeCell ref="U41:V41"/>
    <mergeCell ref="W46:X47"/>
    <mergeCell ref="W48:X49"/>
    <mergeCell ref="U48:V48"/>
    <mergeCell ref="U49:V49"/>
    <mergeCell ref="C46:C47"/>
    <mergeCell ref="C48:C49"/>
    <mergeCell ref="J46:J47"/>
    <mergeCell ref="J48:J49"/>
    <mergeCell ref="U44:V44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K44:L44"/>
    <mergeCell ref="M47:N47"/>
    <mergeCell ref="O47:P47"/>
    <mergeCell ref="O48:P48"/>
    <mergeCell ref="Q47:R47"/>
    <mergeCell ref="F42:G42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1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11:V11"/>
    <mergeCell ref="X9:X11"/>
    <mergeCell ref="Y9:Y16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3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O12:P12"/>
    <mergeCell ref="Q12:R12"/>
    <mergeCell ref="D14:D16"/>
    <mergeCell ref="F14:G14"/>
    <mergeCell ref="K14:L14"/>
    <mergeCell ref="M14:N14"/>
    <mergeCell ref="O14:P14"/>
    <mergeCell ref="Q14:R14"/>
    <mergeCell ref="D12:D13"/>
    <mergeCell ref="S14:T14"/>
    <mergeCell ref="U14:V14"/>
    <mergeCell ref="X14:X16"/>
    <mergeCell ref="F15:G15"/>
    <mergeCell ref="K15:L15"/>
    <mergeCell ref="M15:N15"/>
    <mergeCell ref="O15:P15"/>
    <mergeCell ref="Q15:R15"/>
    <mergeCell ref="S15:T15"/>
    <mergeCell ref="U15:V15"/>
    <mergeCell ref="U18:V18"/>
    <mergeCell ref="U16:V16"/>
    <mergeCell ref="F16:G16"/>
    <mergeCell ref="K16:L16"/>
    <mergeCell ref="M16:N16"/>
    <mergeCell ref="O16:P16"/>
    <mergeCell ref="Q16:R16"/>
    <mergeCell ref="S16:T16"/>
    <mergeCell ref="D17:D20"/>
    <mergeCell ref="F17:G17"/>
    <mergeCell ref="K17:L17"/>
    <mergeCell ref="M17:N17"/>
    <mergeCell ref="O17:P17"/>
    <mergeCell ref="Q17:R17"/>
    <mergeCell ref="S17:T17"/>
    <mergeCell ref="U17:V17"/>
    <mergeCell ref="F20:G20"/>
    <mergeCell ref="K20:L20"/>
    <mergeCell ref="M20:N20"/>
    <mergeCell ref="O20:P20"/>
    <mergeCell ref="Q20:R20"/>
    <mergeCell ref="S20:T20"/>
    <mergeCell ref="U20:V20"/>
    <mergeCell ref="AA18:AB18"/>
    <mergeCell ref="F19:G19"/>
    <mergeCell ref="K19:L19"/>
    <mergeCell ref="M19:N19"/>
    <mergeCell ref="O19:P19"/>
    <mergeCell ref="Q19:R19"/>
    <mergeCell ref="S19:T19"/>
    <mergeCell ref="U19:V19"/>
    <mergeCell ref="X19:X20"/>
    <mergeCell ref="Y19:Y22"/>
    <mergeCell ref="X17:X18"/>
    <mergeCell ref="Y17:Y18"/>
    <mergeCell ref="F18:G18"/>
    <mergeCell ref="K18:L18"/>
    <mergeCell ref="M18:N18"/>
    <mergeCell ref="O18:P18"/>
    <mergeCell ref="Q18:R18"/>
    <mergeCell ref="S18:T18"/>
    <mergeCell ref="S21:T21"/>
    <mergeCell ref="U21:V21"/>
    <mergeCell ref="X21:X22"/>
    <mergeCell ref="F22:G22"/>
    <mergeCell ref="K22:L22"/>
    <mergeCell ref="M22:N22"/>
    <mergeCell ref="D21:D22"/>
    <mergeCell ref="U23:V23"/>
    <mergeCell ref="O22:P22"/>
    <mergeCell ref="Q22:R22"/>
    <mergeCell ref="S22:T22"/>
    <mergeCell ref="U22:V22"/>
    <mergeCell ref="F21:G21"/>
    <mergeCell ref="K21:L21"/>
    <mergeCell ref="M21:N21"/>
    <mergeCell ref="O21:P21"/>
    <mergeCell ref="Q21:R21"/>
    <mergeCell ref="X23:X27"/>
    <mergeCell ref="Y23:Y27"/>
    <mergeCell ref="F24:G24"/>
    <mergeCell ref="K24:L24"/>
    <mergeCell ref="M24:N24"/>
    <mergeCell ref="O24:P24"/>
    <mergeCell ref="Q24:R24"/>
    <mergeCell ref="S24:T24"/>
    <mergeCell ref="U24:V24"/>
    <mergeCell ref="U25:V25"/>
    <mergeCell ref="F26:G26"/>
    <mergeCell ref="K26:L26"/>
    <mergeCell ref="M26:N26"/>
    <mergeCell ref="O26:P26"/>
    <mergeCell ref="Q26:R26"/>
    <mergeCell ref="S26:T26"/>
    <mergeCell ref="U26:V26"/>
    <mergeCell ref="F25:G25"/>
    <mergeCell ref="K25:L25"/>
    <mergeCell ref="M25:N25"/>
    <mergeCell ref="O25:P25"/>
    <mergeCell ref="Q25:R25"/>
    <mergeCell ref="S25:T25"/>
    <mergeCell ref="U27:V27"/>
    <mergeCell ref="D28:D29"/>
    <mergeCell ref="F28:G28"/>
    <mergeCell ref="K28:L28"/>
    <mergeCell ref="M28:N28"/>
    <mergeCell ref="O28:P28"/>
    <mergeCell ref="Q28:R28"/>
    <mergeCell ref="S28:T28"/>
    <mergeCell ref="U28:V28"/>
    <mergeCell ref="F27:G27"/>
    <mergeCell ref="K27:L27"/>
    <mergeCell ref="M27:N27"/>
    <mergeCell ref="O27:P27"/>
    <mergeCell ref="Q27:R27"/>
    <mergeCell ref="S27:T27"/>
    <mergeCell ref="D23:D27"/>
    <mergeCell ref="F23:G23"/>
    <mergeCell ref="K23:L23"/>
    <mergeCell ref="M23:N23"/>
    <mergeCell ref="O23:P23"/>
    <mergeCell ref="Q23:R23"/>
    <mergeCell ref="S23:T23"/>
    <mergeCell ref="W28:X29"/>
    <mergeCell ref="Y28:Y29"/>
    <mergeCell ref="F29:G29"/>
    <mergeCell ref="K29:L29"/>
    <mergeCell ref="M29:N29"/>
    <mergeCell ref="O29:P29"/>
    <mergeCell ref="Q29:R29"/>
    <mergeCell ref="S29:T29"/>
    <mergeCell ref="U29:V29"/>
    <mergeCell ref="W30:X31"/>
    <mergeCell ref="Y30:Y31"/>
    <mergeCell ref="F31:G31"/>
    <mergeCell ref="K31:L31"/>
    <mergeCell ref="M31:N31"/>
    <mergeCell ref="O31:P31"/>
    <mergeCell ref="Q31:R31"/>
    <mergeCell ref="S31:T31"/>
    <mergeCell ref="D30:D31"/>
    <mergeCell ref="F30:G30"/>
    <mergeCell ref="K30:L30"/>
    <mergeCell ref="M30:N30"/>
    <mergeCell ref="O30:P30"/>
    <mergeCell ref="Q30:R30"/>
    <mergeCell ref="U31:V31"/>
    <mergeCell ref="S30:T30"/>
    <mergeCell ref="U30:V30"/>
    <mergeCell ref="U32:V32"/>
    <mergeCell ref="W32:X32"/>
    <mergeCell ref="AA32:AB32"/>
    <mergeCell ref="D34:E34"/>
    <mergeCell ref="F34:G34"/>
    <mergeCell ref="K34:L34"/>
    <mergeCell ref="M34:N34"/>
    <mergeCell ref="O34:P34"/>
    <mergeCell ref="Q34:R34"/>
    <mergeCell ref="B32:G32"/>
    <mergeCell ref="K32:L32"/>
    <mergeCell ref="M32:N32"/>
    <mergeCell ref="O32:P32"/>
    <mergeCell ref="Q32:R32"/>
    <mergeCell ref="S32:T32"/>
    <mergeCell ref="F39:G39"/>
    <mergeCell ref="F40:G40"/>
    <mergeCell ref="F43:G43"/>
    <mergeCell ref="K39:L39"/>
    <mergeCell ref="K40:L40"/>
    <mergeCell ref="K43:L43"/>
    <mergeCell ref="M39:N39"/>
    <mergeCell ref="M40:N40"/>
    <mergeCell ref="S34:T34"/>
    <mergeCell ref="U34:V34"/>
    <mergeCell ref="W34:X34"/>
    <mergeCell ref="F35:G35"/>
    <mergeCell ref="K35:L35"/>
    <mergeCell ref="M35:N35"/>
    <mergeCell ref="O35:P35"/>
    <mergeCell ref="Q35:R35"/>
    <mergeCell ref="S35:T35"/>
    <mergeCell ref="M43:N43"/>
    <mergeCell ref="O39:P39"/>
    <mergeCell ref="O40:P40"/>
    <mergeCell ref="O43:P43"/>
    <mergeCell ref="Q39:R39"/>
    <mergeCell ref="Q40:R40"/>
    <mergeCell ref="Q43:R43"/>
    <mergeCell ref="S39:T39"/>
    <mergeCell ref="S40:T40"/>
    <mergeCell ref="S43:T43"/>
    <mergeCell ref="U39:V39"/>
    <mergeCell ref="U40:V40"/>
    <mergeCell ref="U43:V43"/>
    <mergeCell ref="F47:G47"/>
    <mergeCell ref="U35:V35"/>
    <mergeCell ref="W35:X35"/>
    <mergeCell ref="F36:G36"/>
    <mergeCell ref="K36:L36"/>
    <mergeCell ref="M36:N36"/>
    <mergeCell ref="O36:P36"/>
    <mergeCell ref="Q36:R36"/>
    <mergeCell ref="S36:T36"/>
    <mergeCell ref="U36:V36"/>
    <mergeCell ref="W36:X36"/>
    <mergeCell ref="F41:G41"/>
    <mergeCell ref="K41:L41"/>
    <mergeCell ref="M41:N41"/>
    <mergeCell ref="O41:P41"/>
    <mergeCell ref="Q41:R41"/>
    <mergeCell ref="S41:T41"/>
    <mergeCell ref="U37:V37"/>
    <mergeCell ref="W37:X37"/>
    <mergeCell ref="F38:G38"/>
    <mergeCell ref="K38:L38"/>
    <mergeCell ref="M38:N38"/>
    <mergeCell ref="O38:P38"/>
    <mergeCell ref="Q38:R38"/>
    <mergeCell ref="S38:T38"/>
    <mergeCell ref="U38:V38"/>
    <mergeCell ref="W38:X38"/>
    <mergeCell ref="F37:G37"/>
    <mergeCell ref="K37:L37"/>
    <mergeCell ref="M37:N37"/>
    <mergeCell ref="O37:P37"/>
    <mergeCell ref="Q37:R37"/>
    <mergeCell ref="S37:T37"/>
    <mergeCell ref="W39:X39"/>
    <mergeCell ref="W40:X40"/>
    <mergeCell ref="M44:N44"/>
    <mergeCell ref="O44:P44"/>
    <mergeCell ref="Q44:R44"/>
    <mergeCell ref="S44:T44"/>
    <mergeCell ref="B46:B49"/>
    <mergeCell ref="S47:T47"/>
    <mergeCell ref="S48:T48"/>
    <mergeCell ref="F49:G49"/>
    <mergeCell ref="K49:L49"/>
    <mergeCell ref="M49:N49"/>
    <mergeCell ref="F46:G46"/>
    <mergeCell ref="K46:L46"/>
    <mergeCell ref="M46:N46"/>
    <mergeCell ref="F48:G48"/>
    <mergeCell ref="K47:L47"/>
    <mergeCell ref="K48:L48"/>
    <mergeCell ref="M48:N48"/>
    <mergeCell ref="B33:C45"/>
    <mergeCell ref="U46:V46"/>
    <mergeCell ref="U47:V47"/>
    <mergeCell ref="O50:P51"/>
    <mergeCell ref="Q50:R51"/>
    <mergeCell ref="S50:T51"/>
    <mergeCell ref="U50:V51"/>
    <mergeCell ref="O46:P46"/>
    <mergeCell ref="Q46:R46"/>
    <mergeCell ref="S46:T46"/>
    <mergeCell ref="O49:P49"/>
    <mergeCell ref="Q49:R49"/>
    <mergeCell ref="Q48:R48"/>
    <mergeCell ref="S49:T49"/>
    <mergeCell ref="W50:X51"/>
    <mergeCell ref="Y50:Y51"/>
    <mergeCell ref="B50:G51"/>
    <mergeCell ref="H50:H51"/>
    <mergeCell ref="I50:I51"/>
    <mergeCell ref="J50:J51"/>
    <mergeCell ref="K50:L51"/>
    <mergeCell ref="M50:N51"/>
    <mergeCell ref="U52:V52"/>
    <mergeCell ref="W52:X52"/>
    <mergeCell ref="AA52:AB53"/>
    <mergeCell ref="B53:E56"/>
    <mergeCell ref="F53:J53"/>
    <mergeCell ref="K53:L53"/>
    <mergeCell ref="M53:N53"/>
    <mergeCell ref="O53:P53"/>
    <mergeCell ref="Q53:R53"/>
    <mergeCell ref="S53:T53"/>
    <mergeCell ref="B52:G52"/>
    <mergeCell ref="K52:L52"/>
    <mergeCell ref="M52:N52"/>
    <mergeCell ref="O52:P52"/>
    <mergeCell ref="Q52:R52"/>
    <mergeCell ref="S52:T52"/>
    <mergeCell ref="AA54:AB54"/>
    <mergeCell ref="F55:J55"/>
    <mergeCell ref="K55:L55"/>
    <mergeCell ref="M55:N55"/>
    <mergeCell ref="O55:P55"/>
    <mergeCell ref="Q55:R55"/>
    <mergeCell ref="S55:T55"/>
    <mergeCell ref="U55:V55"/>
    <mergeCell ref="U53:V53"/>
    <mergeCell ref="W53:X55"/>
    <mergeCell ref="Y53:Y55"/>
    <mergeCell ref="F54:J54"/>
    <mergeCell ref="K54:L54"/>
    <mergeCell ref="M54:N54"/>
    <mergeCell ref="O54:P54"/>
    <mergeCell ref="Q54:R54"/>
    <mergeCell ref="S54:T54"/>
    <mergeCell ref="U54:V54"/>
    <mergeCell ref="U56:V56"/>
    <mergeCell ref="W56:X56"/>
    <mergeCell ref="AA56:AB56"/>
    <mergeCell ref="B57:J57"/>
    <mergeCell ref="K57:L57"/>
    <mergeCell ref="M57:N57"/>
    <mergeCell ref="O57:P57"/>
    <mergeCell ref="Q57:R57"/>
    <mergeCell ref="S57:T57"/>
    <mergeCell ref="U57:V57"/>
    <mergeCell ref="F56:J56"/>
    <mergeCell ref="K56:L56"/>
    <mergeCell ref="M56:N56"/>
    <mergeCell ref="O56:P56"/>
    <mergeCell ref="Q56:R56"/>
    <mergeCell ref="S56:T56"/>
    <mergeCell ref="AA59:AB59"/>
    <mergeCell ref="W57:X57"/>
    <mergeCell ref="AA57:AB57"/>
    <mergeCell ref="B58:J58"/>
    <mergeCell ref="K58:N58"/>
    <mergeCell ref="O58:R58"/>
    <mergeCell ref="S58:V58"/>
    <mergeCell ref="W58:X58"/>
    <mergeCell ref="AA58:AB58"/>
  </mergeCells>
  <phoneticPr fontId="9" type="noConversion"/>
  <conditionalFormatting sqref="AA32:AB32 AC51 AA54:AB54 AA57:AB57 AA59:AB59">
    <cfRule type="containsText" dxfId="0" priority="1" operator="containsText" text="FALSE">
      <formula>NOT(ISERROR(SEARCH("FALSE",AA32)))</formula>
    </cfRule>
  </conditionalFormatting>
  <printOptions horizontalCentered="1" verticalCentered="1"/>
  <pageMargins left="0.17" right="0.17" top="0.17" bottom="0.22" header="0.3" footer="0.3"/>
  <pageSetup paperSize="9" scale="43" orientation="portrait" cellComments="asDisplayed" r:id="rId1"/>
  <rowBreaks count="1" manualBreakCount="1">
    <brk id="50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0ACD44-013A-4D3E-A35C-AEC661F680BC}">
          <x14:formula1>
            <xm:f>삭제금지!$J$2:$J$59</xm:f>
          </x14:formula1>
          <xm:sqref>H5:J5</xm:sqref>
        </x14:dataValidation>
        <x14:dataValidation type="list" allowBlank="1" showInputMessage="1" showErrorMessage="1" xr:uid="{01004C5E-4A99-4578-B67D-8DB1E95C29F8}">
          <x14:formula1>
            <xm:f>삭제금지!$I$2:$I$18</xm:f>
          </x14:formula1>
          <xm:sqref>F5:G5</xm:sqref>
        </x14:dataValidation>
        <x14:dataValidation type="list" allowBlank="1" showInputMessage="1" showErrorMessage="1" xr:uid="{B145C74C-C20F-42F0-BA81-53176F512A32}">
          <x14:formula1>
            <xm:f>삭제금지!$K$2:$K$59</xm:f>
          </x14:formula1>
          <xm:sqref>K5:O5</xm:sqref>
        </x14:dataValidation>
        <x14:dataValidation type="list" allowBlank="1" showInputMessage="1" showErrorMessage="1" xr:uid="{F9AB35F0-6213-43DE-9A80-9537C7BB3C49}">
          <x14:formula1>
            <xm:f>삭제금지!$L$2:$L$4</xm:f>
          </x14:formula1>
          <xm:sqref>T5:V5</xm:sqref>
        </x14:dataValidation>
        <x14:dataValidation type="list" allowBlank="1" showInputMessage="1" showErrorMessage="1" xr:uid="{7EFAC6D9-21EF-42D7-AA2C-CF1CCECC44AB}">
          <x14:formula1>
            <xm:f>삭제금지!$H$2:$H$18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BA37-C0E4-470B-B621-60A4B9533D01}">
  <sheetPr>
    <pageSetUpPr fitToPage="1"/>
  </sheetPr>
  <dimension ref="B2:AG51"/>
  <sheetViews>
    <sheetView showGridLines="0" tabSelected="1" view="pageLayout" topLeftCell="B1" zoomScaleNormal="85" zoomScaleSheetLayoutView="90" workbookViewId="0">
      <selection activeCell="X17" sqref="X17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28.2" thickBot="1">
      <c r="B2" s="466" t="s">
        <v>686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</row>
    <row r="3" spans="2:33" ht="27" customHeight="1" thickBot="1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467" t="s">
        <v>129</v>
      </c>
      <c r="O3" s="468"/>
      <c r="P3" s="469"/>
      <c r="Q3" s="467" t="s">
        <v>127</v>
      </c>
      <c r="R3" s="468"/>
      <c r="S3" s="469"/>
      <c r="T3" s="470" t="s">
        <v>130</v>
      </c>
      <c r="U3" s="471"/>
    </row>
    <row r="4" spans="2:33" ht="27" customHeight="1" thickBot="1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667" t="s">
        <v>564</v>
      </c>
      <c r="O4" s="473"/>
      <c r="P4" s="474"/>
      <c r="Q4" s="472" t="s">
        <v>565</v>
      </c>
      <c r="R4" s="473"/>
      <c r="S4" s="474"/>
      <c r="T4" s="475">
        <v>2027</v>
      </c>
      <c r="U4" s="476"/>
    </row>
    <row r="5" spans="2:33" ht="24" customHeight="1" thickBot="1">
      <c r="B5" s="477"/>
      <c r="C5" s="477"/>
    </row>
    <row r="6" spans="2:33" ht="20.25" customHeight="1">
      <c r="B6" s="580" t="s">
        <v>13</v>
      </c>
      <c r="C6" s="583" t="s">
        <v>140</v>
      </c>
      <c r="D6" s="573" t="s">
        <v>14</v>
      </c>
      <c r="E6" s="573" t="s">
        <v>15</v>
      </c>
      <c r="F6" s="573" t="s">
        <v>141</v>
      </c>
      <c r="G6" s="573" t="s">
        <v>142</v>
      </c>
      <c r="H6" s="576" t="s">
        <v>58</v>
      </c>
      <c r="I6" s="576"/>
      <c r="J6" s="576"/>
      <c r="K6" s="576"/>
      <c r="L6" s="576" t="s">
        <v>59</v>
      </c>
      <c r="M6" s="576"/>
      <c r="N6" s="576"/>
      <c r="O6" s="576"/>
      <c r="P6" s="576" t="s">
        <v>60</v>
      </c>
      <c r="Q6" s="576"/>
      <c r="R6" s="576"/>
      <c r="S6" s="576"/>
      <c r="T6" s="577" t="s">
        <v>139</v>
      </c>
      <c r="U6" s="570" t="s">
        <v>126</v>
      </c>
      <c r="W6" s="498" t="s">
        <v>131</v>
      </c>
      <c r="X6" s="499"/>
      <c r="Y6" s="499"/>
      <c r="Z6" s="499"/>
      <c r="AA6" s="499"/>
      <c r="AB6" s="499"/>
      <c r="AC6" s="499"/>
      <c r="AD6" s="499"/>
      <c r="AE6" s="499"/>
      <c r="AF6" s="500"/>
      <c r="AG6" s="12"/>
    </row>
    <row r="7" spans="2:33" ht="16.5" customHeight="1">
      <c r="B7" s="581"/>
      <c r="C7" s="584"/>
      <c r="D7" s="574"/>
      <c r="E7" s="574"/>
      <c r="F7" s="574"/>
      <c r="G7" s="574"/>
      <c r="H7" s="569" t="s">
        <v>124</v>
      </c>
      <c r="I7" s="569"/>
      <c r="J7" s="569" t="s">
        <v>62</v>
      </c>
      <c r="K7" s="569"/>
      <c r="L7" s="569" t="s">
        <v>124</v>
      </c>
      <c r="M7" s="569"/>
      <c r="N7" s="569" t="s">
        <v>62</v>
      </c>
      <c r="O7" s="569"/>
      <c r="P7" s="569" t="s">
        <v>124</v>
      </c>
      <c r="Q7" s="569"/>
      <c r="R7" s="569" t="s">
        <v>62</v>
      </c>
      <c r="S7" s="569"/>
      <c r="T7" s="578"/>
      <c r="U7" s="571"/>
      <c r="W7" s="490" t="s">
        <v>132</v>
      </c>
      <c r="X7" s="491"/>
      <c r="Y7" s="491"/>
      <c r="Z7" s="491"/>
      <c r="AA7" s="491"/>
      <c r="AB7" s="491"/>
      <c r="AC7" s="491"/>
      <c r="AD7" s="491"/>
      <c r="AE7" s="491"/>
      <c r="AF7" s="492"/>
      <c r="AG7" s="12"/>
    </row>
    <row r="8" spans="2:33" ht="17.25" customHeight="1" thickBot="1">
      <c r="B8" s="582"/>
      <c r="C8" s="585"/>
      <c r="D8" s="575"/>
      <c r="E8" s="575"/>
      <c r="F8" s="575"/>
      <c r="G8" s="575"/>
      <c r="H8" s="25" t="s">
        <v>138</v>
      </c>
      <c r="I8" s="25" t="s">
        <v>125</v>
      </c>
      <c r="J8" s="25" t="s">
        <v>138</v>
      </c>
      <c r="K8" s="25" t="s">
        <v>125</v>
      </c>
      <c r="L8" s="25" t="s">
        <v>138</v>
      </c>
      <c r="M8" s="25" t="s">
        <v>125</v>
      </c>
      <c r="N8" s="25" t="s">
        <v>138</v>
      </c>
      <c r="O8" s="25" t="s">
        <v>125</v>
      </c>
      <c r="P8" s="25" t="s">
        <v>138</v>
      </c>
      <c r="Q8" s="25" t="s">
        <v>125</v>
      </c>
      <c r="R8" s="25" t="s">
        <v>138</v>
      </c>
      <c r="S8" s="25" t="s">
        <v>125</v>
      </c>
      <c r="T8" s="579"/>
      <c r="U8" s="572"/>
      <c r="W8" s="13"/>
      <c r="X8" s="14"/>
      <c r="Y8" s="14"/>
      <c r="Z8" s="14"/>
      <c r="AA8" s="14"/>
      <c r="AB8" s="14"/>
      <c r="AC8" s="14"/>
      <c r="AD8" s="14"/>
      <c r="AE8" s="14"/>
      <c r="AF8" s="15"/>
      <c r="AG8" s="12"/>
    </row>
    <row r="9" spans="2:33" ht="16.5" customHeight="1">
      <c r="B9" s="482" t="s">
        <v>562</v>
      </c>
      <c r="C9" s="485">
        <v>18</v>
      </c>
      <c r="D9" s="174" t="s">
        <v>566</v>
      </c>
      <c r="E9" s="174" t="s">
        <v>567</v>
      </c>
      <c r="F9" s="174">
        <v>60</v>
      </c>
      <c r="G9" s="174">
        <v>3</v>
      </c>
      <c r="H9" s="184"/>
      <c r="I9" s="184">
        <f>H9*16</f>
        <v>0</v>
      </c>
      <c r="J9" s="184"/>
      <c r="K9" s="184">
        <f>J9*16</f>
        <v>0</v>
      </c>
      <c r="L9" s="184">
        <v>4</v>
      </c>
      <c r="M9" s="184">
        <f>L9*16</f>
        <v>64</v>
      </c>
      <c r="N9" s="184"/>
      <c r="O9" s="184">
        <f>N9*16</f>
        <v>0</v>
      </c>
      <c r="P9" s="184"/>
      <c r="Q9" s="184">
        <f>P9*16</f>
        <v>0</v>
      </c>
      <c r="R9" s="184"/>
      <c r="S9" s="184">
        <f>R9*16</f>
        <v>0</v>
      </c>
      <c r="T9" s="185">
        <f>SUM(H9,J9,L9,N9,P9,R9)</f>
        <v>4</v>
      </c>
      <c r="U9" s="186">
        <f>SUM(I9,K9,M9,O9,Q9,S9)</f>
        <v>64</v>
      </c>
      <c r="W9" s="11"/>
      <c r="X9" s="12"/>
      <c r="Y9" s="12"/>
      <c r="Z9" s="12"/>
      <c r="AA9" s="12"/>
      <c r="AB9" s="12"/>
      <c r="AC9" s="12"/>
      <c r="AD9" s="12"/>
      <c r="AE9" s="12"/>
      <c r="AF9" s="16"/>
      <c r="AG9" s="12"/>
    </row>
    <row r="10" spans="2:33" ht="16.5" customHeight="1">
      <c r="B10" s="483"/>
      <c r="C10" s="486"/>
      <c r="D10" s="176" t="s">
        <v>568</v>
      </c>
      <c r="E10" s="179" t="s">
        <v>572</v>
      </c>
      <c r="F10" s="176">
        <v>60</v>
      </c>
      <c r="G10" s="176">
        <v>3</v>
      </c>
      <c r="H10" s="187"/>
      <c r="I10" s="187">
        <f>H10*16</f>
        <v>0</v>
      </c>
      <c r="J10" s="187"/>
      <c r="K10" s="187">
        <f t="shared" ref="K10:K50" si="0">J10*16</f>
        <v>0</v>
      </c>
      <c r="L10" s="187">
        <v>4</v>
      </c>
      <c r="M10" s="187">
        <f t="shared" ref="M10:M50" si="1">L10*16</f>
        <v>64</v>
      </c>
      <c r="N10" s="187"/>
      <c r="O10" s="187">
        <f t="shared" ref="O10:O50" si="2">N10*16</f>
        <v>0</v>
      </c>
      <c r="P10" s="187"/>
      <c r="Q10" s="187">
        <f t="shared" ref="Q10:Q50" si="3">P10*16</f>
        <v>0</v>
      </c>
      <c r="R10" s="187"/>
      <c r="S10" s="187">
        <f t="shared" ref="S10:S50" si="4">R10*16</f>
        <v>0</v>
      </c>
      <c r="T10" s="188">
        <f>SUM(H10,J10,L10,N10,P10,R10)</f>
        <v>4</v>
      </c>
      <c r="U10" s="189">
        <f>SUM(I10,K10,M10,O10,Q10,S10)</f>
        <v>64</v>
      </c>
      <c r="W10" s="11"/>
      <c r="X10" s="12"/>
      <c r="Y10" s="12"/>
      <c r="Z10" s="12"/>
      <c r="AA10" s="12"/>
      <c r="AB10" s="12"/>
      <c r="AC10" s="12"/>
      <c r="AD10" s="12"/>
      <c r="AE10" s="12"/>
      <c r="AF10" s="16"/>
      <c r="AG10" s="12"/>
    </row>
    <row r="11" spans="2:33">
      <c r="B11" s="483"/>
      <c r="C11" s="486"/>
      <c r="D11" s="179" t="s">
        <v>569</v>
      </c>
      <c r="E11" s="176" t="s">
        <v>573</v>
      </c>
      <c r="F11" s="179">
        <v>60</v>
      </c>
      <c r="G11" s="179">
        <v>3</v>
      </c>
      <c r="H11" s="190"/>
      <c r="I11" s="187">
        <f t="shared" ref="I11:I12" si="5">H11*16</f>
        <v>0</v>
      </c>
      <c r="J11" s="190"/>
      <c r="K11" s="187">
        <f t="shared" si="0"/>
        <v>0</v>
      </c>
      <c r="L11" s="190"/>
      <c r="M11" s="187">
        <f t="shared" si="1"/>
        <v>0</v>
      </c>
      <c r="N11" s="190">
        <v>5</v>
      </c>
      <c r="O11" s="187">
        <f t="shared" si="2"/>
        <v>80</v>
      </c>
      <c r="P11" s="190"/>
      <c r="Q11" s="187">
        <f t="shared" si="3"/>
        <v>0</v>
      </c>
      <c r="R11" s="190"/>
      <c r="S11" s="187">
        <f t="shared" si="4"/>
        <v>0</v>
      </c>
      <c r="T11" s="188">
        <f t="shared" ref="T11:T50" si="6">SUM(H11,J11,L11,N11,P11,R11)</f>
        <v>5</v>
      </c>
      <c r="U11" s="189">
        <f t="shared" ref="U11:U50" si="7">SUM(I11,K11,M11,O11,Q11,S11)</f>
        <v>80</v>
      </c>
    </row>
    <row r="12" spans="2:33">
      <c r="B12" s="483"/>
      <c r="C12" s="486"/>
      <c r="D12" s="179" t="s">
        <v>570</v>
      </c>
      <c r="E12" s="179" t="s">
        <v>574</v>
      </c>
      <c r="F12" s="179">
        <v>60</v>
      </c>
      <c r="G12" s="179">
        <v>4</v>
      </c>
      <c r="H12" s="190"/>
      <c r="I12" s="187">
        <f t="shared" si="5"/>
        <v>0</v>
      </c>
      <c r="J12" s="190"/>
      <c r="K12" s="187">
        <f t="shared" si="0"/>
        <v>0</v>
      </c>
      <c r="L12" s="190"/>
      <c r="M12" s="187">
        <f t="shared" si="1"/>
        <v>0</v>
      </c>
      <c r="N12" s="190">
        <v>5</v>
      </c>
      <c r="O12" s="187">
        <f t="shared" si="2"/>
        <v>80</v>
      </c>
      <c r="P12" s="190"/>
      <c r="Q12" s="187">
        <f t="shared" si="3"/>
        <v>0</v>
      </c>
      <c r="R12" s="190"/>
      <c r="S12" s="187">
        <f t="shared" si="4"/>
        <v>0</v>
      </c>
      <c r="T12" s="188">
        <f t="shared" si="6"/>
        <v>5</v>
      </c>
      <c r="U12" s="189">
        <f t="shared" si="7"/>
        <v>80</v>
      </c>
    </row>
    <row r="13" spans="2:33" ht="18" thickBot="1">
      <c r="B13" s="484"/>
      <c r="C13" s="487"/>
      <c r="D13" s="568" t="s">
        <v>16</v>
      </c>
      <c r="E13" s="568"/>
      <c r="F13" s="183">
        <f>SUM(F9:F12)</f>
        <v>240</v>
      </c>
      <c r="G13" s="183">
        <f>SUM(G9:G12)</f>
        <v>13</v>
      </c>
      <c r="H13" s="194">
        <f>SUM(H9:H12)</f>
        <v>0</v>
      </c>
      <c r="I13" s="193"/>
      <c r="J13" s="194">
        <f>SUM(J9:J12)</f>
        <v>0</v>
      </c>
      <c r="K13" s="193"/>
      <c r="L13" s="194">
        <f>SUM(L9:L12)</f>
        <v>8</v>
      </c>
      <c r="M13" s="193">
        <f>L13*16</f>
        <v>128</v>
      </c>
      <c r="N13" s="194">
        <f>SUM(N9:N12)</f>
        <v>10</v>
      </c>
      <c r="O13" s="193">
        <f>N13*16</f>
        <v>160</v>
      </c>
      <c r="P13" s="194">
        <f>SUM(P9:P12)</f>
        <v>0</v>
      </c>
      <c r="Q13" s="193"/>
      <c r="R13" s="194">
        <f>SUM(R9:R12)</f>
        <v>0</v>
      </c>
      <c r="S13" s="193"/>
      <c r="T13" s="194">
        <f>SUM(T9:T12)</f>
        <v>18</v>
      </c>
      <c r="U13" s="193">
        <f>T13*16</f>
        <v>288</v>
      </c>
    </row>
    <row r="14" spans="2:33">
      <c r="B14" s="482" t="s">
        <v>664</v>
      </c>
      <c r="C14" s="485">
        <v>6</v>
      </c>
      <c r="D14" s="174" t="s">
        <v>718</v>
      </c>
      <c r="E14" s="174" t="s">
        <v>722</v>
      </c>
      <c r="F14" s="174">
        <v>20</v>
      </c>
      <c r="G14" s="174">
        <v>3</v>
      </c>
      <c r="H14" s="184">
        <v>1</v>
      </c>
      <c r="I14" s="184">
        <f t="shared" ref="I14:I50" si="8">H14*16</f>
        <v>16</v>
      </c>
      <c r="J14" s="184"/>
      <c r="K14" s="184">
        <f t="shared" si="0"/>
        <v>0</v>
      </c>
      <c r="L14" s="184"/>
      <c r="M14" s="184">
        <f t="shared" si="1"/>
        <v>0</v>
      </c>
      <c r="N14" s="184"/>
      <c r="O14" s="184">
        <f t="shared" si="2"/>
        <v>0</v>
      </c>
      <c r="P14" s="184"/>
      <c r="Q14" s="184">
        <f t="shared" si="3"/>
        <v>0</v>
      </c>
      <c r="R14" s="184"/>
      <c r="S14" s="184">
        <f t="shared" si="4"/>
        <v>0</v>
      </c>
      <c r="T14" s="185">
        <f t="shared" si="6"/>
        <v>1</v>
      </c>
      <c r="U14" s="186">
        <f t="shared" si="7"/>
        <v>16</v>
      </c>
      <c r="W14" s="27"/>
    </row>
    <row r="15" spans="2:33">
      <c r="B15" s="483"/>
      <c r="C15" s="486"/>
      <c r="D15" s="179" t="s">
        <v>719</v>
      </c>
      <c r="E15" s="179" t="s">
        <v>725</v>
      </c>
      <c r="F15" s="179">
        <v>40</v>
      </c>
      <c r="G15" s="179">
        <v>3</v>
      </c>
      <c r="H15" s="190">
        <v>2</v>
      </c>
      <c r="I15" s="187">
        <f t="shared" si="8"/>
        <v>32</v>
      </c>
      <c r="J15" s="187"/>
      <c r="K15" s="187"/>
      <c r="L15" s="190"/>
      <c r="M15" s="190"/>
      <c r="N15" s="190"/>
      <c r="O15" s="190"/>
      <c r="P15" s="190"/>
      <c r="Q15" s="190"/>
      <c r="R15" s="190"/>
      <c r="S15" s="190"/>
      <c r="T15" s="190">
        <v>2</v>
      </c>
      <c r="U15" s="683">
        <f t="shared" ref="U15:U16" si="9">T15*16</f>
        <v>32</v>
      </c>
      <c r="W15" s="27"/>
    </row>
    <row r="16" spans="2:33">
      <c r="B16" s="483"/>
      <c r="C16" s="486"/>
      <c r="D16" s="179" t="s">
        <v>720</v>
      </c>
      <c r="E16" s="179" t="s">
        <v>723</v>
      </c>
      <c r="F16" s="179">
        <v>40</v>
      </c>
      <c r="G16" s="179">
        <v>3</v>
      </c>
      <c r="H16" s="190"/>
      <c r="I16" s="187"/>
      <c r="J16" s="187">
        <v>1</v>
      </c>
      <c r="K16" s="187">
        <f t="shared" ref="K16:K17" si="10">J16*16</f>
        <v>16</v>
      </c>
      <c r="L16" s="190"/>
      <c r="M16" s="190"/>
      <c r="N16" s="190"/>
      <c r="O16" s="190"/>
      <c r="P16" s="190"/>
      <c r="Q16" s="190"/>
      <c r="R16" s="190"/>
      <c r="S16" s="190"/>
      <c r="T16" s="187">
        <v>1</v>
      </c>
      <c r="U16" s="683">
        <f t="shared" si="9"/>
        <v>16</v>
      </c>
      <c r="W16" s="27"/>
    </row>
    <row r="17" spans="2:23">
      <c r="B17" s="483"/>
      <c r="C17" s="486"/>
      <c r="D17" s="179" t="s">
        <v>721</v>
      </c>
      <c r="E17" s="179" t="s">
        <v>724</v>
      </c>
      <c r="F17" s="179">
        <v>50</v>
      </c>
      <c r="G17" s="179">
        <v>4</v>
      </c>
      <c r="H17" s="190"/>
      <c r="I17" s="187"/>
      <c r="J17" s="187">
        <v>2</v>
      </c>
      <c r="K17" s="187">
        <f t="shared" si="10"/>
        <v>32</v>
      </c>
      <c r="L17" s="190"/>
      <c r="M17" s="190"/>
      <c r="N17" s="190"/>
      <c r="O17" s="190"/>
      <c r="P17" s="190"/>
      <c r="Q17" s="190"/>
      <c r="R17" s="190"/>
      <c r="S17" s="190"/>
      <c r="T17" s="191">
        <f t="shared" si="6"/>
        <v>2</v>
      </c>
      <c r="U17" s="192">
        <f t="shared" si="7"/>
        <v>32</v>
      </c>
      <c r="W17" s="27"/>
    </row>
    <row r="18" spans="2:23" ht="18" thickBot="1">
      <c r="B18" s="484"/>
      <c r="C18" s="487"/>
      <c r="D18" s="488" t="s">
        <v>656</v>
      </c>
      <c r="E18" s="489"/>
      <c r="F18" s="207">
        <f>SUM(F14:F17)</f>
        <v>150</v>
      </c>
      <c r="G18" s="207">
        <f>SUM(G14:G17)</f>
        <v>13</v>
      </c>
      <c r="H18" s="208">
        <f>SUM(H14:H17)</f>
        <v>3</v>
      </c>
      <c r="I18" s="208">
        <f t="shared" ref="I18:U18" si="11">SUM(I14:I17)</f>
        <v>48</v>
      </c>
      <c r="J18" s="208">
        <f t="shared" si="11"/>
        <v>3</v>
      </c>
      <c r="K18" s="208">
        <f t="shared" si="11"/>
        <v>48</v>
      </c>
      <c r="L18" s="208">
        <f t="shared" si="11"/>
        <v>0</v>
      </c>
      <c r="M18" s="208">
        <f t="shared" si="11"/>
        <v>0</v>
      </c>
      <c r="N18" s="208">
        <f t="shared" si="11"/>
        <v>0</v>
      </c>
      <c r="O18" s="208">
        <f t="shared" si="11"/>
        <v>0</v>
      </c>
      <c r="P18" s="208">
        <f t="shared" si="11"/>
        <v>0</v>
      </c>
      <c r="Q18" s="208">
        <f t="shared" si="11"/>
        <v>0</v>
      </c>
      <c r="R18" s="208">
        <f t="shared" si="11"/>
        <v>0</v>
      </c>
      <c r="S18" s="208">
        <f t="shared" si="11"/>
        <v>0</v>
      </c>
      <c r="T18" s="208">
        <f t="shared" si="11"/>
        <v>6</v>
      </c>
      <c r="U18" s="209">
        <f t="shared" si="11"/>
        <v>96</v>
      </c>
      <c r="W18" s="27"/>
    </row>
    <row r="19" spans="2:23">
      <c r="B19" s="483" t="s">
        <v>726</v>
      </c>
      <c r="C19" s="486">
        <v>18</v>
      </c>
      <c r="D19" s="179" t="s">
        <v>602</v>
      </c>
      <c r="E19" s="179" t="s">
        <v>603</v>
      </c>
      <c r="F19" s="179">
        <v>40</v>
      </c>
      <c r="G19" s="179">
        <v>4</v>
      </c>
      <c r="H19" s="190"/>
      <c r="I19" s="190">
        <f t="shared" si="8"/>
        <v>0</v>
      </c>
      <c r="J19" s="190"/>
      <c r="K19" s="190">
        <f t="shared" si="0"/>
        <v>0</v>
      </c>
      <c r="L19" s="190">
        <v>3</v>
      </c>
      <c r="M19" s="190">
        <f t="shared" si="1"/>
        <v>48</v>
      </c>
      <c r="N19" s="190"/>
      <c r="O19" s="190">
        <f t="shared" si="2"/>
        <v>0</v>
      </c>
      <c r="P19" s="190"/>
      <c r="Q19" s="190">
        <f t="shared" si="3"/>
        <v>0</v>
      </c>
      <c r="R19" s="190"/>
      <c r="S19" s="190">
        <f t="shared" si="4"/>
        <v>0</v>
      </c>
      <c r="T19" s="191">
        <f t="shared" si="6"/>
        <v>3</v>
      </c>
      <c r="U19" s="192">
        <f t="shared" si="7"/>
        <v>48</v>
      </c>
    </row>
    <row r="20" spans="2:23">
      <c r="B20" s="483"/>
      <c r="C20" s="486"/>
      <c r="D20" s="179" t="s">
        <v>604</v>
      </c>
      <c r="E20" s="179" t="s">
        <v>605</v>
      </c>
      <c r="F20" s="179">
        <v>40</v>
      </c>
      <c r="G20" s="179">
        <v>2</v>
      </c>
      <c r="H20" s="190"/>
      <c r="I20" s="187">
        <f t="shared" si="8"/>
        <v>0</v>
      </c>
      <c r="J20" s="190"/>
      <c r="K20" s="187">
        <f t="shared" si="0"/>
        <v>0</v>
      </c>
      <c r="L20" s="190">
        <v>3</v>
      </c>
      <c r="M20" s="187">
        <f t="shared" si="1"/>
        <v>48</v>
      </c>
      <c r="N20" s="190"/>
      <c r="O20" s="187">
        <f t="shared" si="2"/>
        <v>0</v>
      </c>
      <c r="P20" s="190"/>
      <c r="Q20" s="187">
        <f t="shared" si="3"/>
        <v>0</v>
      </c>
      <c r="R20" s="190"/>
      <c r="S20" s="187">
        <f t="shared" si="4"/>
        <v>0</v>
      </c>
      <c r="T20" s="188">
        <f t="shared" si="6"/>
        <v>3</v>
      </c>
      <c r="U20" s="189">
        <f t="shared" si="7"/>
        <v>48</v>
      </c>
    </row>
    <row r="21" spans="2:23">
      <c r="B21" s="483"/>
      <c r="C21" s="486"/>
      <c r="D21" s="179" t="s">
        <v>606</v>
      </c>
      <c r="E21" s="179" t="s">
        <v>607</v>
      </c>
      <c r="F21" s="179">
        <v>45</v>
      </c>
      <c r="G21" s="179">
        <v>2</v>
      </c>
      <c r="H21" s="190"/>
      <c r="I21" s="187">
        <f t="shared" si="8"/>
        <v>0</v>
      </c>
      <c r="J21" s="190"/>
      <c r="K21" s="187">
        <f t="shared" si="0"/>
        <v>0</v>
      </c>
      <c r="L21" s="190"/>
      <c r="M21" s="187">
        <f t="shared" si="1"/>
        <v>0</v>
      </c>
      <c r="N21" s="190">
        <v>3</v>
      </c>
      <c r="O21" s="187">
        <f t="shared" si="2"/>
        <v>48</v>
      </c>
      <c r="P21" s="190"/>
      <c r="Q21" s="187">
        <f t="shared" si="3"/>
        <v>0</v>
      </c>
      <c r="R21" s="190"/>
      <c r="S21" s="187">
        <f t="shared" si="4"/>
        <v>0</v>
      </c>
      <c r="T21" s="188">
        <f t="shared" si="6"/>
        <v>3</v>
      </c>
      <c r="U21" s="189">
        <f t="shared" si="7"/>
        <v>48</v>
      </c>
    </row>
    <row r="22" spans="2:23">
      <c r="B22" s="483"/>
      <c r="C22" s="486"/>
      <c r="D22" s="176" t="s">
        <v>608</v>
      </c>
      <c r="E22" s="176" t="s">
        <v>609</v>
      </c>
      <c r="F22" s="176">
        <v>40</v>
      </c>
      <c r="G22" s="176">
        <v>2</v>
      </c>
      <c r="H22" s="187"/>
      <c r="I22" s="187">
        <f t="shared" si="8"/>
        <v>0</v>
      </c>
      <c r="J22" s="187"/>
      <c r="K22" s="187">
        <f t="shared" si="0"/>
        <v>0</v>
      </c>
      <c r="L22" s="187"/>
      <c r="M22" s="187">
        <f t="shared" si="1"/>
        <v>0</v>
      </c>
      <c r="N22" s="187">
        <v>3</v>
      </c>
      <c r="O22" s="187">
        <f t="shared" si="2"/>
        <v>48</v>
      </c>
      <c r="P22" s="187"/>
      <c r="Q22" s="187">
        <f t="shared" si="3"/>
        <v>0</v>
      </c>
      <c r="R22" s="187"/>
      <c r="S22" s="187">
        <f t="shared" si="4"/>
        <v>0</v>
      </c>
      <c r="T22" s="188">
        <f t="shared" si="6"/>
        <v>3</v>
      </c>
      <c r="U22" s="189">
        <f t="shared" si="7"/>
        <v>48</v>
      </c>
    </row>
    <row r="23" spans="2:23" ht="18" thickBot="1">
      <c r="B23" s="484"/>
      <c r="C23" s="487"/>
      <c r="D23" s="488" t="s">
        <v>16</v>
      </c>
      <c r="E23" s="489"/>
      <c r="F23" s="183">
        <f>SUM(F14:F22)</f>
        <v>465</v>
      </c>
      <c r="G23" s="183">
        <f>SUM(G19:G22)</f>
        <v>10</v>
      </c>
      <c r="H23" s="194">
        <f>SUM(H19:H22)</f>
        <v>0</v>
      </c>
      <c r="I23" s="194">
        <f>SUM(I19:I22)</f>
        <v>0</v>
      </c>
      <c r="J23" s="194">
        <f>SUM(J19:J22)</f>
        <v>0</v>
      </c>
      <c r="K23" s="194">
        <f>SUM(K19:K22)</f>
        <v>0</v>
      </c>
      <c r="L23" s="193">
        <f>SUM(L14:L22)</f>
        <v>6</v>
      </c>
      <c r="M23" s="193">
        <f>SUM(M14:M22)</f>
        <v>96</v>
      </c>
      <c r="N23" s="193">
        <f>SUM(N14:N22)</f>
        <v>6</v>
      </c>
      <c r="O23" s="193">
        <f>SUM(O14:O22)</f>
        <v>96</v>
      </c>
      <c r="P23" s="193"/>
      <c r="Q23" s="193"/>
      <c r="R23" s="193"/>
      <c r="S23" s="193"/>
      <c r="T23" s="194">
        <f>SUM(T19:T22)</f>
        <v>12</v>
      </c>
      <c r="U23" s="193">
        <f>T23*16</f>
        <v>192</v>
      </c>
    </row>
    <row r="24" spans="2:23">
      <c r="B24" s="483" t="s">
        <v>563</v>
      </c>
      <c r="C24" s="559">
        <v>8</v>
      </c>
      <c r="D24" s="196" t="s">
        <v>610</v>
      </c>
      <c r="E24" s="179" t="s">
        <v>611</v>
      </c>
      <c r="F24" s="179">
        <v>35</v>
      </c>
      <c r="G24" s="179">
        <v>2</v>
      </c>
      <c r="H24" s="190"/>
      <c r="I24" s="190">
        <f t="shared" si="8"/>
        <v>0</v>
      </c>
      <c r="J24" s="190"/>
      <c r="K24" s="190">
        <f t="shared" si="0"/>
        <v>0</v>
      </c>
      <c r="L24" s="190"/>
      <c r="M24" s="190">
        <f t="shared" si="1"/>
        <v>0</v>
      </c>
      <c r="N24" s="190"/>
      <c r="O24" s="190">
        <f t="shared" si="2"/>
        <v>0</v>
      </c>
      <c r="P24" s="190">
        <v>2</v>
      </c>
      <c r="Q24" s="190">
        <f t="shared" si="3"/>
        <v>32</v>
      </c>
      <c r="R24" s="190"/>
      <c r="S24" s="190">
        <f t="shared" si="4"/>
        <v>0</v>
      </c>
      <c r="T24" s="191">
        <f t="shared" si="6"/>
        <v>2</v>
      </c>
      <c r="U24" s="192">
        <f t="shared" si="7"/>
        <v>32</v>
      </c>
    </row>
    <row r="25" spans="2:23">
      <c r="B25" s="483"/>
      <c r="C25" s="560"/>
      <c r="D25" s="196" t="s">
        <v>612</v>
      </c>
      <c r="E25" s="176" t="s">
        <v>613</v>
      </c>
      <c r="F25" s="179">
        <v>35</v>
      </c>
      <c r="G25" s="179">
        <v>3</v>
      </c>
      <c r="H25" s="190"/>
      <c r="I25" s="187">
        <f t="shared" si="8"/>
        <v>0</v>
      </c>
      <c r="J25" s="190"/>
      <c r="K25" s="187">
        <f t="shared" si="0"/>
        <v>0</v>
      </c>
      <c r="L25" s="190"/>
      <c r="M25" s="187">
        <f t="shared" si="1"/>
        <v>0</v>
      </c>
      <c r="N25" s="190"/>
      <c r="O25" s="187">
        <f t="shared" si="2"/>
        <v>0</v>
      </c>
      <c r="P25" s="190">
        <v>2</v>
      </c>
      <c r="Q25" s="187">
        <f t="shared" si="3"/>
        <v>32</v>
      </c>
      <c r="R25" s="190"/>
      <c r="S25" s="187">
        <f t="shared" si="4"/>
        <v>0</v>
      </c>
      <c r="T25" s="188">
        <f t="shared" si="6"/>
        <v>2</v>
      </c>
      <c r="U25" s="189">
        <f t="shared" si="7"/>
        <v>32</v>
      </c>
    </row>
    <row r="26" spans="2:23">
      <c r="B26" s="483"/>
      <c r="C26" s="560"/>
      <c r="D26" s="196" t="s">
        <v>614</v>
      </c>
      <c r="E26" s="176" t="s">
        <v>615</v>
      </c>
      <c r="F26" s="179">
        <v>35</v>
      </c>
      <c r="G26" s="179">
        <v>4</v>
      </c>
      <c r="H26" s="190"/>
      <c r="I26" s="187">
        <f t="shared" si="8"/>
        <v>0</v>
      </c>
      <c r="J26" s="190"/>
      <c r="K26" s="187">
        <f t="shared" si="0"/>
        <v>0</v>
      </c>
      <c r="L26" s="190"/>
      <c r="M26" s="187">
        <f t="shared" si="1"/>
        <v>0</v>
      </c>
      <c r="N26" s="190"/>
      <c r="O26" s="187">
        <f t="shared" si="2"/>
        <v>0</v>
      </c>
      <c r="P26" s="190"/>
      <c r="Q26" s="187">
        <f t="shared" si="3"/>
        <v>0</v>
      </c>
      <c r="R26" s="190">
        <v>2</v>
      </c>
      <c r="S26" s="187">
        <f t="shared" si="4"/>
        <v>32</v>
      </c>
      <c r="T26" s="188">
        <f t="shared" si="6"/>
        <v>2</v>
      </c>
      <c r="U26" s="189">
        <f t="shared" si="7"/>
        <v>32</v>
      </c>
    </row>
    <row r="27" spans="2:23">
      <c r="B27" s="483"/>
      <c r="C27" s="560"/>
      <c r="D27" s="196" t="s">
        <v>616</v>
      </c>
      <c r="E27" s="197" t="s">
        <v>617</v>
      </c>
      <c r="F27" s="179">
        <v>35</v>
      </c>
      <c r="G27" s="179">
        <v>4</v>
      </c>
      <c r="H27" s="190"/>
      <c r="I27" s="187">
        <f t="shared" si="8"/>
        <v>0</v>
      </c>
      <c r="J27" s="190"/>
      <c r="K27" s="187">
        <f t="shared" si="0"/>
        <v>0</v>
      </c>
      <c r="L27" s="190"/>
      <c r="M27" s="187">
        <f t="shared" si="1"/>
        <v>0</v>
      </c>
      <c r="N27" s="190"/>
      <c r="O27" s="187">
        <f t="shared" si="2"/>
        <v>0</v>
      </c>
      <c r="P27" s="190"/>
      <c r="Q27" s="187">
        <f t="shared" si="3"/>
        <v>0</v>
      </c>
      <c r="R27" s="190">
        <v>2</v>
      </c>
      <c r="S27" s="187">
        <f t="shared" si="4"/>
        <v>32</v>
      </c>
      <c r="T27" s="188">
        <f t="shared" si="6"/>
        <v>2</v>
      </c>
      <c r="U27" s="189">
        <f t="shared" si="7"/>
        <v>32</v>
      </c>
    </row>
    <row r="28" spans="2:23" ht="18" thickBot="1">
      <c r="B28" s="484"/>
      <c r="C28" s="561"/>
      <c r="D28" s="488" t="s">
        <v>16</v>
      </c>
      <c r="E28" s="489"/>
      <c r="F28" s="183">
        <f>SUM(F24:F27)</f>
        <v>140</v>
      </c>
      <c r="G28" s="183">
        <f>SUM(G24:G27)</f>
        <v>13</v>
      </c>
      <c r="H28" s="193"/>
      <c r="I28" s="193"/>
      <c r="J28" s="193"/>
      <c r="K28" s="193"/>
      <c r="L28" s="193"/>
      <c r="M28" s="193"/>
      <c r="N28" s="193"/>
      <c r="O28" s="193"/>
      <c r="P28" s="193">
        <f t="shared" ref="P28:U28" si="12">SUM(P24:P27)</f>
        <v>4</v>
      </c>
      <c r="Q28" s="193">
        <f t="shared" si="12"/>
        <v>64</v>
      </c>
      <c r="R28" s="193">
        <f t="shared" si="12"/>
        <v>4</v>
      </c>
      <c r="S28" s="193">
        <f t="shared" si="12"/>
        <v>64</v>
      </c>
      <c r="T28" s="193">
        <f t="shared" si="12"/>
        <v>8</v>
      </c>
      <c r="U28" s="193">
        <f t="shared" si="12"/>
        <v>128</v>
      </c>
    </row>
    <row r="29" spans="2:23">
      <c r="B29" s="562" t="s">
        <v>554</v>
      </c>
      <c r="C29" s="565">
        <v>13</v>
      </c>
      <c r="D29" s="198" t="s">
        <v>730</v>
      </c>
      <c r="E29" s="179" t="s">
        <v>618</v>
      </c>
      <c r="F29" s="179">
        <v>45</v>
      </c>
      <c r="G29" s="199">
        <v>2</v>
      </c>
      <c r="H29" s="190"/>
      <c r="I29" s="190">
        <f t="shared" si="8"/>
        <v>0</v>
      </c>
      <c r="J29" s="190"/>
      <c r="K29" s="190">
        <f t="shared" si="0"/>
        <v>0</v>
      </c>
      <c r="L29" s="190"/>
      <c r="M29" s="190">
        <f t="shared" si="1"/>
        <v>0</v>
      </c>
      <c r="N29" s="190"/>
      <c r="O29" s="190">
        <f t="shared" si="2"/>
        <v>0</v>
      </c>
      <c r="P29" s="190">
        <v>3</v>
      </c>
      <c r="Q29" s="190">
        <f t="shared" si="3"/>
        <v>48</v>
      </c>
      <c r="R29" s="190"/>
      <c r="S29" s="190">
        <f t="shared" si="4"/>
        <v>0</v>
      </c>
      <c r="T29" s="191">
        <f t="shared" si="6"/>
        <v>3</v>
      </c>
      <c r="U29" s="192">
        <f t="shared" si="7"/>
        <v>48</v>
      </c>
    </row>
    <row r="30" spans="2:23">
      <c r="B30" s="563"/>
      <c r="C30" s="566"/>
      <c r="D30" s="198" t="s">
        <v>727</v>
      </c>
      <c r="E30" s="179" t="s">
        <v>729</v>
      </c>
      <c r="F30" s="179">
        <v>45</v>
      </c>
      <c r="G30" s="179">
        <v>3</v>
      </c>
      <c r="H30" s="190"/>
      <c r="I30" s="187">
        <f t="shared" si="8"/>
        <v>0</v>
      </c>
      <c r="J30" s="190"/>
      <c r="K30" s="187">
        <f t="shared" si="0"/>
        <v>0</v>
      </c>
      <c r="L30" s="190"/>
      <c r="M30" s="187">
        <f t="shared" si="1"/>
        <v>0</v>
      </c>
      <c r="N30" s="190"/>
      <c r="O30" s="187">
        <f t="shared" si="2"/>
        <v>0</v>
      </c>
      <c r="P30" s="190">
        <v>3</v>
      </c>
      <c r="Q30" s="187">
        <f t="shared" si="3"/>
        <v>48</v>
      </c>
      <c r="R30" s="190"/>
      <c r="S30" s="187">
        <f t="shared" si="4"/>
        <v>0</v>
      </c>
      <c r="T30" s="188">
        <f t="shared" si="6"/>
        <v>3</v>
      </c>
      <c r="U30" s="189">
        <f t="shared" si="7"/>
        <v>48</v>
      </c>
    </row>
    <row r="31" spans="2:23">
      <c r="B31" s="563"/>
      <c r="C31" s="566"/>
      <c r="D31" s="200" t="s">
        <v>620</v>
      </c>
      <c r="E31" s="176" t="s">
        <v>621</v>
      </c>
      <c r="F31" s="176">
        <v>60</v>
      </c>
      <c r="G31" s="176">
        <v>3</v>
      </c>
      <c r="H31" s="187"/>
      <c r="I31" s="187">
        <f t="shared" si="8"/>
        <v>0</v>
      </c>
      <c r="J31" s="187"/>
      <c r="K31" s="187">
        <f t="shared" si="0"/>
        <v>0</v>
      </c>
      <c r="L31" s="187"/>
      <c r="M31" s="187">
        <f t="shared" si="1"/>
        <v>0</v>
      </c>
      <c r="N31" s="187"/>
      <c r="O31" s="187">
        <f t="shared" si="2"/>
        <v>0</v>
      </c>
      <c r="P31" s="187"/>
      <c r="Q31" s="187">
        <f t="shared" si="3"/>
        <v>0</v>
      </c>
      <c r="R31" s="187">
        <v>4</v>
      </c>
      <c r="S31" s="187">
        <f t="shared" si="4"/>
        <v>64</v>
      </c>
      <c r="T31" s="188">
        <f t="shared" si="6"/>
        <v>4</v>
      </c>
      <c r="U31" s="189">
        <f t="shared" si="7"/>
        <v>64</v>
      </c>
    </row>
    <row r="32" spans="2:23">
      <c r="B32" s="563"/>
      <c r="C32" s="566"/>
      <c r="D32" s="200" t="s">
        <v>728</v>
      </c>
      <c r="E32" s="176" t="s">
        <v>619</v>
      </c>
      <c r="F32" s="176">
        <v>40</v>
      </c>
      <c r="G32" s="176">
        <v>3</v>
      </c>
      <c r="H32" s="187"/>
      <c r="I32" s="187">
        <f t="shared" si="8"/>
        <v>0</v>
      </c>
      <c r="J32" s="187"/>
      <c r="K32" s="187">
        <f t="shared" si="0"/>
        <v>0</v>
      </c>
      <c r="L32" s="187"/>
      <c r="M32" s="187">
        <f t="shared" si="1"/>
        <v>0</v>
      </c>
      <c r="N32" s="187"/>
      <c r="O32" s="187">
        <f t="shared" si="2"/>
        <v>0</v>
      </c>
      <c r="P32" s="187"/>
      <c r="Q32" s="187">
        <f t="shared" si="3"/>
        <v>0</v>
      </c>
      <c r="R32" s="187">
        <v>3</v>
      </c>
      <c r="S32" s="187">
        <f t="shared" si="4"/>
        <v>48</v>
      </c>
      <c r="T32" s="188">
        <f t="shared" si="6"/>
        <v>3</v>
      </c>
      <c r="U32" s="189">
        <f t="shared" si="7"/>
        <v>48</v>
      </c>
    </row>
    <row r="33" spans="2:21" ht="18" thickBot="1">
      <c r="B33" s="564"/>
      <c r="C33" s="567"/>
      <c r="D33" s="488" t="s">
        <v>16</v>
      </c>
      <c r="E33" s="489"/>
      <c r="F33" s="183">
        <f>SUM(F29:F32)</f>
        <v>190</v>
      </c>
      <c r="G33" s="183">
        <f>SUM(G29:G32)</f>
        <v>11</v>
      </c>
      <c r="H33" s="193"/>
      <c r="I33" s="193"/>
      <c r="J33" s="193"/>
      <c r="K33" s="193"/>
      <c r="L33" s="193"/>
      <c r="M33" s="193"/>
      <c r="N33" s="193"/>
      <c r="O33" s="193"/>
      <c r="P33" s="193">
        <f t="shared" ref="P33:U33" si="13">SUM(P29:P32)</f>
        <v>6</v>
      </c>
      <c r="Q33" s="193">
        <f t="shared" si="13"/>
        <v>96</v>
      </c>
      <c r="R33" s="193">
        <f t="shared" si="13"/>
        <v>7</v>
      </c>
      <c r="S33" s="193">
        <f t="shared" si="13"/>
        <v>112</v>
      </c>
      <c r="T33" s="193">
        <f t="shared" si="13"/>
        <v>13</v>
      </c>
      <c r="U33" s="193">
        <f t="shared" si="13"/>
        <v>208</v>
      </c>
    </row>
    <row r="34" spans="2:21">
      <c r="B34" s="482" t="s">
        <v>558</v>
      </c>
      <c r="C34" s="485">
        <v>12</v>
      </c>
      <c r="D34" s="198" t="s">
        <v>622</v>
      </c>
      <c r="E34" s="201" t="s">
        <v>623</v>
      </c>
      <c r="F34" s="179">
        <v>40</v>
      </c>
      <c r="G34" s="179">
        <v>2</v>
      </c>
      <c r="H34" s="190"/>
      <c r="I34" s="190">
        <f t="shared" si="8"/>
        <v>0</v>
      </c>
      <c r="J34" s="190"/>
      <c r="K34" s="190">
        <f t="shared" si="0"/>
        <v>0</v>
      </c>
      <c r="L34" s="190"/>
      <c r="M34" s="190">
        <f t="shared" si="1"/>
        <v>0</v>
      </c>
      <c r="N34" s="190"/>
      <c r="O34" s="190">
        <f t="shared" si="2"/>
        <v>0</v>
      </c>
      <c r="P34" s="202">
        <v>3</v>
      </c>
      <c r="Q34" s="190">
        <f t="shared" si="3"/>
        <v>48</v>
      </c>
      <c r="R34" s="202"/>
      <c r="S34" s="190">
        <f t="shared" si="4"/>
        <v>0</v>
      </c>
      <c r="T34" s="191">
        <f t="shared" si="6"/>
        <v>3</v>
      </c>
      <c r="U34" s="192">
        <f t="shared" si="7"/>
        <v>48</v>
      </c>
    </row>
    <row r="35" spans="2:21">
      <c r="B35" s="483"/>
      <c r="C35" s="486"/>
      <c r="D35" s="203" t="s">
        <v>624</v>
      </c>
      <c r="E35" s="204" t="s">
        <v>625</v>
      </c>
      <c r="F35" s="179">
        <v>40</v>
      </c>
      <c r="G35" s="179">
        <v>2</v>
      </c>
      <c r="H35" s="190"/>
      <c r="I35" s="187">
        <f t="shared" si="8"/>
        <v>0</v>
      </c>
      <c r="J35" s="190"/>
      <c r="K35" s="187">
        <f t="shared" si="0"/>
        <v>0</v>
      </c>
      <c r="L35" s="190"/>
      <c r="M35" s="187">
        <f t="shared" si="1"/>
        <v>0</v>
      </c>
      <c r="N35" s="190"/>
      <c r="O35" s="187">
        <f t="shared" si="2"/>
        <v>0</v>
      </c>
      <c r="P35" s="202">
        <v>3</v>
      </c>
      <c r="Q35" s="187">
        <f t="shared" si="3"/>
        <v>48</v>
      </c>
      <c r="R35" s="202"/>
      <c r="S35" s="187">
        <f t="shared" si="4"/>
        <v>0</v>
      </c>
      <c r="T35" s="188">
        <f t="shared" si="6"/>
        <v>3</v>
      </c>
      <c r="U35" s="189">
        <f t="shared" si="7"/>
        <v>48</v>
      </c>
    </row>
    <row r="36" spans="2:21">
      <c r="B36" s="483"/>
      <c r="C36" s="486"/>
      <c r="D36" s="205" t="s">
        <v>626</v>
      </c>
      <c r="E36" s="176" t="s">
        <v>627</v>
      </c>
      <c r="F36" s="196">
        <v>40</v>
      </c>
      <c r="G36" s="179">
        <v>2</v>
      </c>
      <c r="H36" s="190"/>
      <c r="I36" s="187">
        <f t="shared" si="8"/>
        <v>0</v>
      </c>
      <c r="J36" s="190"/>
      <c r="K36" s="187">
        <f t="shared" si="0"/>
        <v>0</v>
      </c>
      <c r="L36" s="190"/>
      <c r="M36" s="187">
        <f t="shared" si="1"/>
        <v>0</v>
      </c>
      <c r="N36" s="190"/>
      <c r="O36" s="187">
        <f t="shared" si="2"/>
        <v>0</v>
      </c>
      <c r="P36" s="202"/>
      <c r="Q36" s="187">
        <f t="shared" si="3"/>
        <v>0</v>
      </c>
      <c r="R36" s="202">
        <v>3</v>
      </c>
      <c r="S36" s="187">
        <f t="shared" si="4"/>
        <v>48</v>
      </c>
      <c r="T36" s="188">
        <f t="shared" si="6"/>
        <v>3</v>
      </c>
      <c r="U36" s="189">
        <f t="shared" si="7"/>
        <v>48</v>
      </c>
    </row>
    <row r="37" spans="2:21">
      <c r="B37" s="483"/>
      <c r="C37" s="486"/>
      <c r="D37" s="205" t="s">
        <v>628</v>
      </c>
      <c r="E37" s="176" t="s">
        <v>629</v>
      </c>
      <c r="F37" s="196">
        <v>40</v>
      </c>
      <c r="G37" s="179">
        <v>2</v>
      </c>
      <c r="H37" s="190"/>
      <c r="I37" s="187">
        <f t="shared" si="8"/>
        <v>0</v>
      </c>
      <c r="J37" s="190"/>
      <c r="K37" s="187">
        <f t="shared" si="0"/>
        <v>0</v>
      </c>
      <c r="L37" s="190"/>
      <c r="M37" s="187">
        <f t="shared" si="1"/>
        <v>0</v>
      </c>
      <c r="N37" s="190"/>
      <c r="O37" s="187">
        <f t="shared" si="2"/>
        <v>0</v>
      </c>
      <c r="P37" s="202"/>
      <c r="Q37" s="187">
        <f t="shared" si="3"/>
        <v>0</v>
      </c>
      <c r="R37" s="202">
        <v>3</v>
      </c>
      <c r="S37" s="187">
        <f t="shared" si="4"/>
        <v>48</v>
      </c>
      <c r="T37" s="188">
        <f t="shared" si="6"/>
        <v>3</v>
      </c>
      <c r="U37" s="189">
        <f t="shared" si="7"/>
        <v>48</v>
      </c>
    </row>
    <row r="38" spans="2:21" ht="18" thickBot="1">
      <c r="B38" s="484"/>
      <c r="C38" s="487"/>
      <c r="D38" s="488" t="s">
        <v>16</v>
      </c>
      <c r="E38" s="489"/>
      <c r="F38" s="182">
        <f>SUM(F34:F37)</f>
        <v>160</v>
      </c>
      <c r="G38" s="182">
        <f>SUM(G34:G37)</f>
        <v>8</v>
      </c>
      <c r="H38" s="206"/>
      <c r="I38" s="206"/>
      <c r="J38" s="206"/>
      <c r="K38" s="206"/>
      <c r="L38" s="206"/>
      <c r="M38" s="206"/>
      <c r="N38" s="206"/>
      <c r="O38" s="206"/>
      <c r="P38" s="206">
        <f t="shared" ref="P38:U38" si="14">SUM(P34:P37)</f>
        <v>6</v>
      </c>
      <c r="Q38" s="206">
        <f t="shared" si="14"/>
        <v>96</v>
      </c>
      <c r="R38" s="206">
        <f t="shared" si="14"/>
        <v>6</v>
      </c>
      <c r="S38" s="206">
        <f t="shared" si="14"/>
        <v>96</v>
      </c>
      <c r="T38" s="206">
        <f t="shared" si="14"/>
        <v>12</v>
      </c>
      <c r="U38" s="206">
        <f t="shared" si="14"/>
        <v>192</v>
      </c>
    </row>
    <row r="39" spans="2:21">
      <c r="B39" s="482" t="s">
        <v>715</v>
      </c>
      <c r="C39" s="559">
        <v>12</v>
      </c>
      <c r="D39" s="199" t="s">
        <v>630</v>
      </c>
      <c r="E39" s="179" t="s">
        <v>631</v>
      </c>
      <c r="F39" s="196">
        <v>40</v>
      </c>
      <c r="G39" s="179">
        <v>2</v>
      </c>
      <c r="H39" s="190"/>
      <c r="I39" s="190">
        <f t="shared" si="8"/>
        <v>0</v>
      </c>
      <c r="J39" s="190"/>
      <c r="K39" s="190">
        <f t="shared" si="0"/>
        <v>0</v>
      </c>
      <c r="L39" s="190"/>
      <c r="M39" s="190">
        <f t="shared" si="1"/>
        <v>0</v>
      </c>
      <c r="N39" s="190"/>
      <c r="O39" s="190">
        <f t="shared" si="2"/>
        <v>0</v>
      </c>
      <c r="P39" s="202">
        <v>3</v>
      </c>
      <c r="Q39" s="190">
        <f t="shared" si="3"/>
        <v>48</v>
      </c>
      <c r="R39" s="202"/>
      <c r="S39" s="190">
        <f t="shared" si="4"/>
        <v>0</v>
      </c>
      <c r="T39" s="191">
        <f t="shared" si="6"/>
        <v>3</v>
      </c>
      <c r="U39" s="192">
        <f t="shared" si="7"/>
        <v>48</v>
      </c>
    </row>
    <row r="40" spans="2:21">
      <c r="B40" s="483"/>
      <c r="C40" s="560"/>
      <c r="D40" s="205" t="s">
        <v>632</v>
      </c>
      <c r="E40" s="176" t="s">
        <v>633</v>
      </c>
      <c r="F40" s="196">
        <v>40</v>
      </c>
      <c r="G40" s="179">
        <v>4</v>
      </c>
      <c r="H40" s="190"/>
      <c r="I40" s="187">
        <f t="shared" si="8"/>
        <v>0</v>
      </c>
      <c r="J40" s="190"/>
      <c r="K40" s="187">
        <f t="shared" si="0"/>
        <v>0</v>
      </c>
      <c r="L40" s="190"/>
      <c r="M40" s="187">
        <f t="shared" si="1"/>
        <v>0</v>
      </c>
      <c r="N40" s="190"/>
      <c r="O40" s="187">
        <f t="shared" si="2"/>
        <v>0</v>
      </c>
      <c r="P40" s="202">
        <v>3</v>
      </c>
      <c r="Q40" s="187">
        <f t="shared" si="3"/>
        <v>48</v>
      </c>
      <c r="R40" s="202"/>
      <c r="S40" s="187">
        <f t="shared" si="4"/>
        <v>0</v>
      </c>
      <c r="T40" s="188">
        <f t="shared" si="6"/>
        <v>3</v>
      </c>
      <c r="U40" s="189">
        <f t="shared" si="7"/>
        <v>48</v>
      </c>
    </row>
    <row r="41" spans="2:21">
      <c r="B41" s="483"/>
      <c r="C41" s="560"/>
      <c r="D41" s="205" t="s">
        <v>634</v>
      </c>
      <c r="E41" s="176" t="s">
        <v>635</v>
      </c>
      <c r="F41" s="196">
        <v>40</v>
      </c>
      <c r="G41" s="179">
        <v>4</v>
      </c>
      <c r="H41" s="190"/>
      <c r="I41" s="187">
        <f t="shared" si="8"/>
        <v>0</v>
      </c>
      <c r="J41" s="190"/>
      <c r="K41" s="187">
        <f t="shared" si="0"/>
        <v>0</v>
      </c>
      <c r="L41" s="190"/>
      <c r="M41" s="187">
        <f t="shared" si="1"/>
        <v>0</v>
      </c>
      <c r="N41" s="190"/>
      <c r="O41" s="187">
        <f t="shared" si="2"/>
        <v>0</v>
      </c>
      <c r="P41" s="202"/>
      <c r="Q41" s="187">
        <f t="shared" si="3"/>
        <v>0</v>
      </c>
      <c r="R41" s="202">
        <v>3</v>
      </c>
      <c r="S41" s="187">
        <f t="shared" si="4"/>
        <v>48</v>
      </c>
      <c r="T41" s="188">
        <f t="shared" si="6"/>
        <v>3</v>
      </c>
      <c r="U41" s="189">
        <f t="shared" si="7"/>
        <v>48</v>
      </c>
    </row>
    <row r="42" spans="2:21">
      <c r="B42" s="483"/>
      <c r="C42" s="560"/>
      <c r="D42" s="205" t="s">
        <v>636</v>
      </c>
      <c r="E42" s="176" t="s">
        <v>637</v>
      </c>
      <c r="F42" s="196">
        <v>40</v>
      </c>
      <c r="G42" s="179">
        <v>4</v>
      </c>
      <c r="H42" s="190"/>
      <c r="I42" s="187">
        <f t="shared" si="8"/>
        <v>0</v>
      </c>
      <c r="J42" s="190"/>
      <c r="K42" s="187">
        <f t="shared" si="0"/>
        <v>0</v>
      </c>
      <c r="L42" s="190"/>
      <c r="M42" s="187">
        <f t="shared" si="1"/>
        <v>0</v>
      </c>
      <c r="N42" s="190"/>
      <c r="O42" s="187">
        <f t="shared" si="2"/>
        <v>0</v>
      </c>
      <c r="P42" s="202"/>
      <c r="Q42" s="187">
        <f t="shared" si="3"/>
        <v>0</v>
      </c>
      <c r="R42" s="202">
        <v>3</v>
      </c>
      <c r="S42" s="187">
        <f t="shared" si="4"/>
        <v>48</v>
      </c>
      <c r="T42" s="188">
        <f t="shared" si="6"/>
        <v>3</v>
      </c>
      <c r="U42" s="189">
        <f t="shared" si="7"/>
        <v>48</v>
      </c>
    </row>
    <row r="43" spans="2:21" ht="18" thickBot="1">
      <c r="B43" s="484"/>
      <c r="C43" s="561"/>
      <c r="D43" s="488" t="s">
        <v>16</v>
      </c>
      <c r="E43" s="489"/>
      <c r="F43" s="182">
        <f>SUM(F39:F42)</f>
        <v>160</v>
      </c>
      <c r="G43" s="182">
        <f>SUM(G39:G42)</f>
        <v>14</v>
      </c>
      <c r="H43" s="206"/>
      <c r="I43" s="206"/>
      <c r="J43" s="206"/>
      <c r="K43" s="206"/>
      <c r="L43" s="206"/>
      <c r="M43" s="206"/>
      <c r="N43" s="206"/>
      <c r="O43" s="206"/>
      <c r="P43" s="206">
        <f t="shared" ref="P43:U43" si="15">SUM(P39:P42)</f>
        <v>6</v>
      </c>
      <c r="Q43" s="206">
        <f t="shared" si="15"/>
        <v>96</v>
      </c>
      <c r="R43" s="206">
        <f t="shared" si="15"/>
        <v>6</v>
      </c>
      <c r="S43" s="206">
        <f t="shared" si="15"/>
        <v>96</v>
      </c>
      <c r="T43" s="206">
        <f t="shared" si="15"/>
        <v>12</v>
      </c>
      <c r="U43" s="206">
        <f t="shared" si="15"/>
        <v>192</v>
      </c>
    </row>
    <row r="44" spans="2:21">
      <c r="B44" s="482" t="s">
        <v>716</v>
      </c>
      <c r="C44" s="559">
        <v>9</v>
      </c>
      <c r="D44" s="199" t="s">
        <v>638</v>
      </c>
      <c r="E44" s="179" t="s">
        <v>639</v>
      </c>
      <c r="F44" s="196">
        <v>30</v>
      </c>
      <c r="G44" s="179">
        <v>2</v>
      </c>
      <c r="H44" s="190"/>
      <c r="I44" s="190">
        <f t="shared" si="8"/>
        <v>0</v>
      </c>
      <c r="J44" s="190"/>
      <c r="K44" s="190">
        <f t="shared" si="0"/>
        <v>0</v>
      </c>
      <c r="L44" s="190"/>
      <c r="M44" s="190">
        <f t="shared" si="1"/>
        <v>0</v>
      </c>
      <c r="N44" s="190"/>
      <c r="O44" s="190">
        <f t="shared" si="2"/>
        <v>0</v>
      </c>
      <c r="P44" s="202"/>
      <c r="Q44" s="190">
        <f t="shared" si="3"/>
        <v>0</v>
      </c>
      <c r="R44" s="202">
        <v>3</v>
      </c>
      <c r="S44" s="190">
        <f t="shared" si="4"/>
        <v>48</v>
      </c>
      <c r="T44" s="191">
        <f t="shared" si="6"/>
        <v>3</v>
      </c>
      <c r="U44" s="192">
        <f t="shared" si="7"/>
        <v>48</v>
      </c>
    </row>
    <row r="45" spans="2:21">
      <c r="B45" s="483"/>
      <c r="C45" s="560"/>
      <c r="D45" s="205" t="s">
        <v>640</v>
      </c>
      <c r="E45" s="176" t="s">
        <v>641</v>
      </c>
      <c r="F45" s="196">
        <v>30</v>
      </c>
      <c r="G45" s="179">
        <v>2</v>
      </c>
      <c r="H45" s="190"/>
      <c r="I45" s="187">
        <f t="shared" si="8"/>
        <v>0</v>
      </c>
      <c r="J45" s="190"/>
      <c r="K45" s="187">
        <f t="shared" si="0"/>
        <v>0</v>
      </c>
      <c r="L45" s="190"/>
      <c r="M45" s="187">
        <f t="shared" si="1"/>
        <v>0</v>
      </c>
      <c r="N45" s="190"/>
      <c r="O45" s="187">
        <f t="shared" si="2"/>
        <v>0</v>
      </c>
      <c r="P45" s="202"/>
      <c r="Q45" s="187">
        <f t="shared" si="3"/>
        <v>0</v>
      </c>
      <c r="R45" s="202">
        <v>3</v>
      </c>
      <c r="S45" s="187">
        <f t="shared" si="4"/>
        <v>48</v>
      </c>
      <c r="T45" s="188">
        <f t="shared" si="6"/>
        <v>3</v>
      </c>
      <c r="U45" s="189">
        <f t="shared" si="7"/>
        <v>48</v>
      </c>
    </row>
    <row r="46" spans="2:21">
      <c r="B46" s="483"/>
      <c r="C46" s="560"/>
      <c r="D46" s="205" t="s">
        <v>642</v>
      </c>
      <c r="E46" s="176" t="s">
        <v>643</v>
      </c>
      <c r="F46" s="196">
        <v>30</v>
      </c>
      <c r="G46" s="179">
        <v>2</v>
      </c>
      <c r="H46" s="190"/>
      <c r="I46" s="187">
        <f t="shared" si="8"/>
        <v>0</v>
      </c>
      <c r="J46" s="190"/>
      <c r="K46" s="187">
        <f t="shared" si="0"/>
        <v>0</v>
      </c>
      <c r="L46" s="190"/>
      <c r="M46" s="187">
        <f t="shared" si="1"/>
        <v>0</v>
      </c>
      <c r="N46" s="190"/>
      <c r="O46" s="187">
        <f t="shared" si="2"/>
        <v>0</v>
      </c>
      <c r="P46" s="202"/>
      <c r="Q46" s="187">
        <f t="shared" si="3"/>
        <v>0</v>
      </c>
      <c r="R46" s="202">
        <v>3</v>
      </c>
      <c r="S46" s="187">
        <f t="shared" si="4"/>
        <v>48</v>
      </c>
      <c r="T46" s="188">
        <f t="shared" si="6"/>
        <v>3</v>
      </c>
      <c r="U46" s="189">
        <f t="shared" si="7"/>
        <v>48</v>
      </c>
    </row>
    <row r="47" spans="2:21" ht="18" thickBot="1">
      <c r="B47" s="484"/>
      <c r="C47" s="561"/>
      <c r="D47" s="488" t="s">
        <v>16</v>
      </c>
      <c r="E47" s="489"/>
      <c r="F47" s="182">
        <f>SUM(F44:F46)</f>
        <v>90</v>
      </c>
      <c r="G47" s="182">
        <f>SUM(G44:G46)</f>
        <v>6</v>
      </c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>
        <f t="shared" ref="R47:U47" si="16">SUM(R44:R46)</f>
        <v>9</v>
      </c>
      <c r="S47" s="206">
        <f t="shared" si="16"/>
        <v>144</v>
      </c>
      <c r="T47" s="206">
        <f t="shared" si="16"/>
        <v>9</v>
      </c>
      <c r="U47" s="206">
        <f t="shared" si="16"/>
        <v>144</v>
      </c>
    </row>
    <row r="48" spans="2:21" ht="16.5" customHeight="1">
      <c r="B48" s="482" t="s">
        <v>717</v>
      </c>
      <c r="C48" s="559">
        <v>9</v>
      </c>
      <c r="D48" s="199" t="s">
        <v>644</v>
      </c>
      <c r="E48" s="179" t="s">
        <v>645</v>
      </c>
      <c r="F48" s="196">
        <v>30</v>
      </c>
      <c r="G48" s="179">
        <v>4</v>
      </c>
      <c r="H48" s="190"/>
      <c r="I48" s="190">
        <f t="shared" si="8"/>
        <v>0</v>
      </c>
      <c r="J48" s="190"/>
      <c r="K48" s="190">
        <f t="shared" si="0"/>
        <v>0</v>
      </c>
      <c r="L48" s="190"/>
      <c r="M48" s="190">
        <f t="shared" si="1"/>
        <v>0</v>
      </c>
      <c r="N48" s="190"/>
      <c r="O48" s="190">
        <f t="shared" si="2"/>
        <v>0</v>
      </c>
      <c r="P48" s="202"/>
      <c r="Q48" s="190">
        <f t="shared" si="3"/>
        <v>0</v>
      </c>
      <c r="R48" s="202">
        <v>3</v>
      </c>
      <c r="S48" s="190">
        <f t="shared" si="4"/>
        <v>48</v>
      </c>
      <c r="T48" s="191">
        <f t="shared" si="6"/>
        <v>3</v>
      </c>
      <c r="U48" s="192">
        <f t="shared" si="7"/>
        <v>48</v>
      </c>
    </row>
    <row r="49" spans="2:21">
      <c r="B49" s="483"/>
      <c r="C49" s="560"/>
      <c r="D49" s="205" t="s">
        <v>646</v>
      </c>
      <c r="E49" s="176" t="s">
        <v>663</v>
      </c>
      <c r="F49" s="196">
        <v>30</v>
      </c>
      <c r="G49" s="179">
        <v>4</v>
      </c>
      <c r="H49" s="190"/>
      <c r="I49" s="187">
        <f t="shared" si="8"/>
        <v>0</v>
      </c>
      <c r="J49" s="190"/>
      <c r="K49" s="187">
        <f t="shared" si="0"/>
        <v>0</v>
      </c>
      <c r="L49" s="190"/>
      <c r="M49" s="187">
        <f t="shared" si="1"/>
        <v>0</v>
      </c>
      <c r="N49" s="190"/>
      <c r="O49" s="187">
        <f t="shared" si="2"/>
        <v>0</v>
      </c>
      <c r="P49" s="202"/>
      <c r="Q49" s="187">
        <f t="shared" si="3"/>
        <v>0</v>
      </c>
      <c r="R49" s="202">
        <v>3</v>
      </c>
      <c r="S49" s="187">
        <f t="shared" si="4"/>
        <v>48</v>
      </c>
      <c r="T49" s="188">
        <f t="shared" si="6"/>
        <v>3</v>
      </c>
      <c r="U49" s="189">
        <f t="shared" si="7"/>
        <v>48</v>
      </c>
    </row>
    <row r="50" spans="2:21">
      <c r="B50" s="483"/>
      <c r="C50" s="560"/>
      <c r="D50" s="205" t="s">
        <v>647</v>
      </c>
      <c r="E50" s="176" t="s">
        <v>648</v>
      </c>
      <c r="F50" s="196">
        <v>30</v>
      </c>
      <c r="G50" s="179">
        <v>3</v>
      </c>
      <c r="H50" s="190"/>
      <c r="I50" s="187">
        <f t="shared" si="8"/>
        <v>0</v>
      </c>
      <c r="J50" s="190"/>
      <c r="K50" s="187">
        <f t="shared" si="0"/>
        <v>0</v>
      </c>
      <c r="L50" s="190"/>
      <c r="M50" s="187">
        <f t="shared" si="1"/>
        <v>0</v>
      </c>
      <c r="N50" s="190"/>
      <c r="O50" s="187">
        <f t="shared" si="2"/>
        <v>0</v>
      </c>
      <c r="P50" s="202"/>
      <c r="Q50" s="187">
        <f t="shared" si="3"/>
        <v>0</v>
      </c>
      <c r="R50" s="202">
        <v>3</v>
      </c>
      <c r="S50" s="187">
        <f t="shared" si="4"/>
        <v>48</v>
      </c>
      <c r="T50" s="188">
        <f t="shared" si="6"/>
        <v>3</v>
      </c>
      <c r="U50" s="189">
        <f t="shared" si="7"/>
        <v>48</v>
      </c>
    </row>
    <row r="51" spans="2:21" ht="18" thickBot="1">
      <c r="B51" s="484"/>
      <c r="C51" s="561"/>
      <c r="D51" s="488" t="s">
        <v>16</v>
      </c>
      <c r="E51" s="489"/>
      <c r="F51" s="183">
        <f>SUM(F48:F50)</f>
        <v>90</v>
      </c>
      <c r="G51" s="183">
        <f>SUM(G48:G50)</f>
        <v>11</v>
      </c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>
        <f t="shared" ref="R51:U51" si="17">SUM(R48:R50)</f>
        <v>9</v>
      </c>
      <c r="S51" s="193">
        <f t="shared" si="17"/>
        <v>144</v>
      </c>
      <c r="T51" s="193">
        <f t="shared" si="17"/>
        <v>9</v>
      </c>
      <c r="U51" s="193">
        <f t="shared" si="17"/>
        <v>144</v>
      </c>
    </row>
  </sheetData>
  <mergeCells count="54">
    <mergeCell ref="D47:E47"/>
    <mergeCell ref="D43:E43"/>
    <mergeCell ref="D38:E38"/>
    <mergeCell ref="D51:E51"/>
    <mergeCell ref="F6:F8"/>
    <mergeCell ref="D18:E1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3"/>
    <mergeCell ref="C9:C13"/>
    <mergeCell ref="D13:E13"/>
    <mergeCell ref="D23:E23"/>
    <mergeCell ref="C19:C23"/>
    <mergeCell ref="B14:B18"/>
    <mergeCell ref="C14:C18"/>
    <mergeCell ref="B19:B23"/>
    <mergeCell ref="B24:B28"/>
    <mergeCell ref="C24:C28"/>
    <mergeCell ref="D28:E28"/>
    <mergeCell ref="B29:B33"/>
    <mergeCell ref="C29:C33"/>
    <mergeCell ref="D33:E33"/>
    <mergeCell ref="B34:B38"/>
    <mergeCell ref="B39:B43"/>
    <mergeCell ref="B44:B47"/>
    <mergeCell ref="B48:B51"/>
    <mergeCell ref="C34:C38"/>
    <mergeCell ref="C39:C43"/>
    <mergeCell ref="C44:C47"/>
    <mergeCell ref="C48:C51"/>
  </mergeCells>
  <phoneticPr fontId="9" type="noConversion"/>
  <pageMargins left="0.17" right="0.70866141732283472" top="0.17" bottom="0.17" header="0.17" footer="0.17"/>
  <pageSetup paperSize="9" scale="45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80" activePane="bottomLeft" state="frozen"/>
      <selection pane="bottomLeft" activeCell="H88" sqref="H88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200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337</v>
      </c>
      <c r="G2" s="5"/>
      <c r="H2" s="3" t="s">
        <v>74</v>
      </c>
      <c r="I2" s="3" t="s">
        <v>66</v>
      </c>
      <c r="J2" s="3" t="s">
        <v>165</v>
      </c>
      <c r="K2" s="3" t="s">
        <v>165</v>
      </c>
      <c r="L2" s="3" t="s">
        <v>123</v>
      </c>
    </row>
    <row r="3" spans="1:12">
      <c r="A3" s="3" t="s">
        <v>201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337</v>
      </c>
      <c r="G3" s="5"/>
      <c r="H3" s="3" t="s">
        <v>75</v>
      </c>
      <c r="I3" s="3" t="s">
        <v>67</v>
      </c>
      <c r="J3" s="3" t="s">
        <v>166</v>
      </c>
      <c r="K3" s="3" t="s">
        <v>166</v>
      </c>
      <c r="L3" s="3" t="s">
        <v>118</v>
      </c>
    </row>
    <row r="4" spans="1:12">
      <c r="A4" s="3" t="s">
        <v>203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339</v>
      </c>
      <c r="G4" s="5"/>
      <c r="H4" s="3" t="s">
        <v>76</v>
      </c>
      <c r="I4" s="3" t="s">
        <v>155</v>
      </c>
      <c r="J4" s="3" t="s">
        <v>93</v>
      </c>
      <c r="K4" s="3" t="s">
        <v>93</v>
      </c>
      <c r="L4" s="3" t="s">
        <v>119</v>
      </c>
    </row>
    <row r="5" spans="1:12">
      <c r="A5" s="3" t="s">
        <v>204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339</v>
      </c>
      <c r="G5" s="5"/>
      <c r="H5" s="3" t="s">
        <v>77</v>
      </c>
      <c r="I5" s="3" t="s">
        <v>156</v>
      </c>
      <c r="J5" s="3" t="s">
        <v>167</v>
      </c>
      <c r="K5" s="3" t="s">
        <v>167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339</v>
      </c>
      <c r="G6" s="5"/>
      <c r="H6" s="3" t="s">
        <v>78</v>
      </c>
      <c r="I6" s="3" t="s">
        <v>157</v>
      </c>
      <c r="J6" s="3" t="s">
        <v>168</v>
      </c>
      <c r="K6" s="3" t="s">
        <v>168</v>
      </c>
      <c r="L6" s="3"/>
    </row>
    <row r="7" spans="1:12">
      <c r="A7" s="3" t="s">
        <v>205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339</v>
      </c>
      <c r="G7" s="5"/>
      <c r="H7" s="3" t="s">
        <v>79</v>
      </c>
      <c r="I7" s="3" t="s">
        <v>163</v>
      </c>
      <c r="J7" s="3" t="s">
        <v>94</v>
      </c>
      <c r="K7" s="3" t="s">
        <v>94</v>
      </c>
      <c r="L7" s="5"/>
    </row>
    <row r="8" spans="1:12">
      <c r="A8" s="3" t="s">
        <v>206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339</v>
      </c>
      <c r="G8" s="5"/>
      <c r="H8" s="3" t="s">
        <v>80</v>
      </c>
      <c r="I8" s="3" t="s">
        <v>158</v>
      </c>
      <c r="J8" s="3" t="s">
        <v>169</v>
      </c>
      <c r="K8" s="3" t="s">
        <v>169</v>
      </c>
      <c r="L8" s="5"/>
    </row>
    <row r="9" spans="1:12">
      <c r="A9" s="3" t="s">
        <v>207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339</v>
      </c>
      <c r="G9" s="5"/>
      <c r="H9" s="3" t="s">
        <v>81</v>
      </c>
      <c r="I9" s="3" t="s">
        <v>68</v>
      </c>
      <c r="J9" s="3" t="s">
        <v>170</v>
      </c>
      <c r="K9" s="3" t="s">
        <v>170</v>
      </c>
      <c r="L9" s="5"/>
    </row>
    <row r="10" spans="1:12">
      <c r="A10" s="3" t="s">
        <v>208</v>
      </c>
      <c r="B10" s="3" t="s">
        <v>17</v>
      </c>
      <c r="C10" s="3" t="s">
        <v>21</v>
      </c>
      <c r="D10" s="3" t="s">
        <v>211</v>
      </c>
      <c r="E10" s="3">
        <v>4</v>
      </c>
      <c r="F10" s="7" t="s">
        <v>339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209</v>
      </c>
      <c r="B11" s="3" t="s">
        <v>17</v>
      </c>
      <c r="C11" s="3" t="s">
        <v>21</v>
      </c>
      <c r="D11" s="3" t="s">
        <v>211</v>
      </c>
      <c r="E11" s="3">
        <v>4</v>
      </c>
      <c r="F11" s="7" t="s">
        <v>339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210</v>
      </c>
      <c r="B12" s="3" t="s">
        <v>17</v>
      </c>
      <c r="C12" s="3" t="s">
        <v>21</v>
      </c>
      <c r="D12" s="3" t="s">
        <v>211</v>
      </c>
      <c r="E12" s="3">
        <v>4</v>
      </c>
      <c r="F12" s="7" t="s">
        <v>339</v>
      </c>
      <c r="G12" s="5"/>
      <c r="H12" s="3" t="s">
        <v>84</v>
      </c>
      <c r="I12" s="3" t="s">
        <v>159</v>
      </c>
      <c r="J12" s="3" t="s">
        <v>96</v>
      </c>
      <c r="K12" s="3" t="s">
        <v>96</v>
      </c>
      <c r="L12" s="5"/>
    </row>
    <row r="13" spans="1:12">
      <c r="A13" s="3" t="s">
        <v>212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337</v>
      </c>
      <c r="G13" s="5"/>
      <c r="H13" s="3" t="s">
        <v>85</v>
      </c>
      <c r="I13" s="3" t="s">
        <v>71</v>
      </c>
      <c r="J13" s="3" t="s">
        <v>171</v>
      </c>
      <c r="K13" s="3" t="s">
        <v>171</v>
      </c>
      <c r="L13" s="5"/>
    </row>
    <row r="14" spans="1:12">
      <c r="A14" s="3" t="s">
        <v>214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337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215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339</v>
      </c>
      <c r="G15" s="5"/>
      <c r="H15" s="3" t="s">
        <v>87</v>
      </c>
      <c r="I15" s="3" t="s">
        <v>160</v>
      </c>
      <c r="J15" s="3" t="s">
        <v>172</v>
      </c>
      <c r="K15" s="3" t="s">
        <v>172</v>
      </c>
      <c r="L15" s="5"/>
    </row>
    <row r="16" spans="1:12">
      <c r="A16" s="3" t="s">
        <v>216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339</v>
      </c>
      <c r="G16" s="5"/>
      <c r="H16" s="3" t="s">
        <v>88</v>
      </c>
      <c r="I16" s="3" t="s">
        <v>161</v>
      </c>
      <c r="J16" s="3" t="s">
        <v>173</v>
      </c>
      <c r="K16" s="3" t="s">
        <v>173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339</v>
      </c>
      <c r="G17" s="5"/>
      <c r="H17" s="3" t="s">
        <v>89</v>
      </c>
      <c r="I17" s="3" t="s">
        <v>162</v>
      </c>
      <c r="J17" s="3" t="s">
        <v>174</v>
      </c>
      <c r="K17" s="3" t="s">
        <v>174</v>
      </c>
      <c r="L17" s="5"/>
    </row>
    <row r="18" spans="1:12">
      <c r="A18" s="3" t="s">
        <v>217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339</v>
      </c>
      <c r="G18" s="5"/>
      <c r="H18" s="3" t="s">
        <v>90</v>
      </c>
      <c r="I18" s="3" t="s">
        <v>164</v>
      </c>
      <c r="J18" s="3" t="s">
        <v>175</v>
      </c>
      <c r="K18" s="3" t="s">
        <v>175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339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339</v>
      </c>
      <c r="G20" s="5"/>
      <c r="J20" s="3" t="s">
        <v>176</v>
      </c>
      <c r="K20" s="3" t="s">
        <v>176</v>
      </c>
      <c r="L20" s="5"/>
    </row>
    <row r="21" spans="1:12">
      <c r="A21" s="3" t="s">
        <v>218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339</v>
      </c>
      <c r="G21" s="5"/>
      <c r="J21" s="3" t="s">
        <v>98</v>
      </c>
      <c r="K21" s="3" t="s">
        <v>98</v>
      </c>
      <c r="L21" s="5"/>
    </row>
    <row r="22" spans="1:12">
      <c r="A22" s="3" t="s">
        <v>220</v>
      </c>
      <c r="B22" s="3" t="s">
        <v>17</v>
      </c>
      <c r="C22" s="3" t="s">
        <v>5</v>
      </c>
      <c r="D22" s="3" t="s">
        <v>221</v>
      </c>
      <c r="E22" s="3">
        <v>4</v>
      </c>
      <c r="F22" s="7" t="s">
        <v>339</v>
      </c>
      <c r="G22" s="5"/>
      <c r="H22" s="3"/>
      <c r="I22" s="3"/>
      <c r="J22" s="3" t="s">
        <v>177</v>
      </c>
      <c r="K22" s="3" t="s">
        <v>177</v>
      </c>
      <c r="L22" s="5"/>
    </row>
    <row r="23" spans="1:12">
      <c r="A23" s="3" t="s">
        <v>222</v>
      </c>
      <c r="B23" s="3" t="s">
        <v>17</v>
      </c>
      <c r="C23" s="3" t="s">
        <v>5</v>
      </c>
      <c r="D23" s="3" t="s">
        <v>211</v>
      </c>
      <c r="E23" s="3">
        <v>4</v>
      </c>
      <c r="F23" s="7" t="s">
        <v>339</v>
      </c>
      <c r="G23" s="5"/>
      <c r="H23" s="3"/>
      <c r="I23" s="3"/>
      <c r="J23" s="3" t="s">
        <v>178</v>
      </c>
      <c r="K23" s="3" t="s">
        <v>178</v>
      </c>
      <c r="L23" s="5"/>
    </row>
    <row r="24" spans="1:12">
      <c r="A24" s="3" t="s">
        <v>223</v>
      </c>
      <c r="B24" s="3" t="s">
        <v>17</v>
      </c>
      <c r="C24" s="3" t="s">
        <v>5</v>
      </c>
      <c r="D24" s="3" t="s">
        <v>211</v>
      </c>
      <c r="E24" s="3">
        <v>4</v>
      </c>
      <c r="F24" s="7" t="s">
        <v>339</v>
      </c>
      <c r="G24" s="5"/>
      <c r="H24" s="3"/>
      <c r="I24" s="3"/>
      <c r="J24" s="3" t="s">
        <v>179</v>
      </c>
      <c r="K24" s="3" t="s">
        <v>179</v>
      </c>
      <c r="L24" s="5"/>
    </row>
    <row r="25" spans="1:12">
      <c r="A25" s="3" t="s">
        <v>224</v>
      </c>
      <c r="B25" s="3" t="s">
        <v>17</v>
      </c>
      <c r="C25" s="3" t="s">
        <v>5</v>
      </c>
      <c r="D25" s="3" t="s">
        <v>211</v>
      </c>
      <c r="E25" s="3">
        <v>4</v>
      </c>
      <c r="F25" s="7" t="s">
        <v>339</v>
      </c>
      <c r="G25" s="5"/>
      <c r="H25" s="3"/>
      <c r="I25" s="3"/>
      <c r="J25" s="3" t="s">
        <v>180</v>
      </c>
      <c r="K25" s="3" t="s">
        <v>180</v>
      </c>
      <c r="L25" s="5"/>
    </row>
    <row r="26" spans="1:12">
      <c r="A26" s="3" t="s">
        <v>219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337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225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339</v>
      </c>
      <c r="G27" s="5"/>
      <c r="H27" s="5"/>
      <c r="I27" s="5"/>
      <c r="J27" s="3" t="s">
        <v>181</v>
      </c>
      <c r="K27" s="3" t="s">
        <v>181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339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339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339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339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226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339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227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339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228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339</v>
      </c>
      <c r="G34" s="5"/>
      <c r="H34" s="5"/>
      <c r="I34" s="5"/>
      <c r="J34" s="3" t="s">
        <v>182</v>
      </c>
      <c r="K34" s="3" t="s">
        <v>182</v>
      </c>
      <c r="L34" s="5"/>
    </row>
    <row r="35" spans="1:12">
      <c r="A35" s="3" t="s">
        <v>229</v>
      </c>
      <c r="B35" s="3" t="s">
        <v>17</v>
      </c>
      <c r="C35" s="3" t="s">
        <v>6</v>
      </c>
      <c r="D35" s="3" t="s">
        <v>221</v>
      </c>
      <c r="E35" s="3">
        <v>4</v>
      </c>
      <c r="F35" s="7" t="s">
        <v>339</v>
      </c>
      <c r="G35" s="5"/>
      <c r="H35" s="5"/>
      <c r="I35" s="5"/>
      <c r="J35" s="3" t="s">
        <v>183</v>
      </c>
      <c r="K35" s="3" t="s">
        <v>183</v>
      </c>
      <c r="L35" s="5"/>
    </row>
    <row r="36" spans="1:12">
      <c r="A36" s="3" t="s">
        <v>230</v>
      </c>
      <c r="B36" s="3" t="s">
        <v>17</v>
      </c>
      <c r="C36" s="3" t="s">
        <v>6</v>
      </c>
      <c r="D36" s="3" t="s">
        <v>211</v>
      </c>
      <c r="E36" s="3">
        <v>4</v>
      </c>
      <c r="F36" s="7" t="s">
        <v>339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231</v>
      </c>
      <c r="B37" s="3" t="s">
        <v>17</v>
      </c>
      <c r="C37" s="3" t="s">
        <v>6</v>
      </c>
      <c r="D37" s="3" t="s">
        <v>211</v>
      </c>
      <c r="E37" s="3">
        <v>4</v>
      </c>
      <c r="F37" s="7" t="s">
        <v>339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232</v>
      </c>
      <c r="B38" s="3" t="s">
        <v>17</v>
      </c>
      <c r="C38" s="3" t="s">
        <v>6</v>
      </c>
      <c r="D38" s="3" t="s">
        <v>211</v>
      </c>
      <c r="E38" s="3">
        <v>4</v>
      </c>
      <c r="F38" s="7" t="s">
        <v>339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233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364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234</v>
      </c>
      <c r="B40" s="3" t="s">
        <v>17</v>
      </c>
      <c r="C40" s="3" t="s">
        <v>7</v>
      </c>
      <c r="D40" s="3" t="s">
        <v>235</v>
      </c>
      <c r="E40" s="3">
        <v>3</v>
      </c>
      <c r="F40" s="7" t="s">
        <v>364</v>
      </c>
      <c r="G40" s="5"/>
      <c r="H40" s="5"/>
      <c r="I40" s="5"/>
      <c r="J40" s="3" t="s">
        <v>184</v>
      </c>
      <c r="K40" s="3" t="s">
        <v>184</v>
      </c>
      <c r="L40" s="5"/>
    </row>
    <row r="41" spans="1:12" ht="17.25" customHeight="1">
      <c r="A41" s="3" t="s">
        <v>236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337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237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337</v>
      </c>
      <c r="G42" s="5"/>
      <c r="H42" s="5"/>
      <c r="I42" s="5"/>
      <c r="J42" s="3" t="s">
        <v>185</v>
      </c>
      <c r="K42" s="3" t="s">
        <v>185</v>
      </c>
      <c r="L42" s="5"/>
    </row>
    <row r="43" spans="1:12" ht="17.25" customHeight="1">
      <c r="A43" s="3" t="s">
        <v>249</v>
      </c>
      <c r="B43" s="3" t="s">
        <v>17</v>
      </c>
      <c r="C43" s="3" t="s">
        <v>25</v>
      </c>
      <c r="D43" s="3" t="s">
        <v>253</v>
      </c>
      <c r="E43" s="3">
        <v>4</v>
      </c>
      <c r="F43" s="7" t="s">
        <v>339</v>
      </c>
      <c r="G43" s="5"/>
      <c r="H43" s="5"/>
      <c r="I43" s="5"/>
      <c r="J43" s="3" t="s">
        <v>186</v>
      </c>
      <c r="K43" s="3" t="s">
        <v>186</v>
      </c>
      <c r="L43" s="5"/>
    </row>
    <row r="44" spans="1:12" ht="17.25" customHeight="1">
      <c r="A44" s="3" t="s">
        <v>250</v>
      </c>
      <c r="B44" s="3" t="s">
        <v>17</v>
      </c>
      <c r="C44" s="3" t="s">
        <v>25</v>
      </c>
      <c r="D44" s="3" t="s">
        <v>253</v>
      </c>
      <c r="E44" s="3">
        <v>4</v>
      </c>
      <c r="F44" s="7" t="s">
        <v>339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251</v>
      </c>
      <c r="B45" s="3" t="s">
        <v>17</v>
      </c>
      <c r="C45" s="3" t="s">
        <v>25</v>
      </c>
      <c r="D45" s="3" t="s">
        <v>253</v>
      </c>
      <c r="E45" s="3">
        <v>4</v>
      </c>
      <c r="F45" s="7" t="s">
        <v>339</v>
      </c>
      <c r="G45" s="5"/>
      <c r="H45" s="5"/>
      <c r="I45" s="5"/>
      <c r="J45" s="3" t="s">
        <v>187</v>
      </c>
      <c r="K45" s="3" t="s">
        <v>187</v>
      </c>
      <c r="L45" s="5"/>
    </row>
    <row r="46" spans="1:12" ht="17.25" customHeight="1">
      <c r="A46" s="3" t="s">
        <v>252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339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238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339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239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339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240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339</v>
      </c>
      <c r="G49" s="5"/>
      <c r="H49" s="5"/>
      <c r="I49" s="5"/>
      <c r="J49" s="5" t="s">
        <v>188</v>
      </c>
      <c r="K49" s="5" t="s">
        <v>188</v>
      </c>
      <c r="L49" s="5"/>
    </row>
    <row r="50" spans="1:12">
      <c r="A50" s="3" t="s">
        <v>241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339</v>
      </c>
      <c r="G50" s="5"/>
      <c r="H50" s="5"/>
      <c r="I50" s="5"/>
      <c r="J50" s="5" t="s">
        <v>189</v>
      </c>
      <c r="K50" s="5" t="s">
        <v>189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339</v>
      </c>
      <c r="G51" s="5"/>
      <c r="H51" s="5"/>
      <c r="I51" s="5"/>
      <c r="J51" s="5" t="s">
        <v>190</v>
      </c>
      <c r="K51" s="5" t="s">
        <v>190</v>
      </c>
      <c r="L51" s="5"/>
    </row>
    <row r="52" spans="1:12">
      <c r="A52" s="3" t="s">
        <v>242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339</v>
      </c>
      <c r="G52" s="5"/>
      <c r="H52" s="5"/>
      <c r="I52" s="5"/>
      <c r="J52" s="5" t="s">
        <v>191</v>
      </c>
      <c r="K52" s="5" t="s">
        <v>191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339</v>
      </c>
      <c r="G53" s="5"/>
      <c r="H53" s="5"/>
      <c r="I53" s="5"/>
      <c r="J53" s="5" t="s">
        <v>192</v>
      </c>
      <c r="K53" s="5" t="s">
        <v>192</v>
      </c>
      <c r="L53" s="5"/>
    </row>
    <row r="54" spans="1:12">
      <c r="A54" s="3" t="s">
        <v>243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339</v>
      </c>
      <c r="G54" s="5"/>
      <c r="H54" s="5"/>
      <c r="I54" s="5"/>
      <c r="J54" s="5" t="s">
        <v>193</v>
      </c>
      <c r="K54" s="5" t="s">
        <v>193</v>
      </c>
      <c r="L54" s="5"/>
    </row>
    <row r="55" spans="1:12">
      <c r="A55" s="3" t="s">
        <v>244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339</v>
      </c>
      <c r="G55" s="5"/>
      <c r="H55" s="5"/>
      <c r="I55" s="5"/>
      <c r="J55" s="5" t="s">
        <v>195</v>
      </c>
      <c r="K55" s="5" t="s">
        <v>195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211</v>
      </c>
      <c r="E56" s="3">
        <v>4</v>
      </c>
      <c r="F56" s="7" t="s">
        <v>339</v>
      </c>
      <c r="G56" s="5"/>
      <c r="H56" s="5"/>
      <c r="I56" s="5"/>
      <c r="J56" s="5" t="s">
        <v>194</v>
      </c>
      <c r="K56" s="5" t="s">
        <v>194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211</v>
      </c>
      <c r="E57" s="3">
        <v>4</v>
      </c>
      <c r="F57" s="7" t="s">
        <v>339</v>
      </c>
      <c r="G57" s="5"/>
      <c r="H57" s="5"/>
      <c r="I57" s="5"/>
      <c r="J57" s="5" t="s">
        <v>196</v>
      </c>
      <c r="K57" s="5" t="s">
        <v>196</v>
      </c>
      <c r="L57" s="5"/>
    </row>
    <row r="58" spans="1:12">
      <c r="A58" s="3" t="s">
        <v>245</v>
      </c>
      <c r="B58" s="3" t="s">
        <v>17</v>
      </c>
      <c r="C58" s="3" t="s">
        <v>25</v>
      </c>
      <c r="D58" s="3" t="s">
        <v>211</v>
      </c>
      <c r="E58" s="3">
        <v>4</v>
      </c>
      <c r="F58" s="7" t="s">
        <v>339</v>
      </c>
      <c r="G58" s="5"/>
      <c r="H58" s="5"/>
      <c r="I58" s="5"/>
      <c r="J58" s="5" t="s">
        <v>197</v>
      </c>
      <c r="K58" s="5" t="s">
        <v>197</v>
      </c>
      <c r="L58" s="5"/>
    </row>
    <row r="59" spans="1:12">
      <c r="A59" s="3" t="s">
        <v>246</v>
      </c>
      <c r="B59" s="3" t="s">
        <v>17</v>
      </c>
      <c r="C59" s="3" t="s">
        <v>25</v>
      </c>
      <c r="D59" s="3" t="s">
        <v>211</v>
      </c>
      <c r="E59" s="3">
        <v>4</v>
      </c>
      <c r="F59" s="7" t="s">
        <v>339</v>
      </c>
      <c r="G59" s="5"/>
      <c r="H59" s="5"/>
      <c r="I59" s="5"/>
      <c r="J59" s="5" t="s">
        <v>198</v>
      </c>
      <c r="K59" s="5" t="s">
        <v>198</v>
      </c>
      <c r="L59" s="5"/>
    </row>
    <row r="60" spans="1:12">
      <c r="A60" s="3" t="s">
        <v>247</v>
      </c>
      <c r="B60" s="3" t="s">
        <v>17</v>
      </c>
      <c r="C60" s="3" t="s">
        <v>25</v>
      </c>
      <c r="D60" s="3" t="s">
        <v>211</v>
      </c>
      <c r="E60" s="3">
        <v>4</v>
      </c>
      <c r="F60" s="7" t="s">
        <v>339</v>
      </c>
      <c r="G60" s="5"/>
      <c r="H60" s="5"/>
      <c r="I60" s="5"/>
      <c r="J60" s="3"/>
      <c r="K60" s="3"/>
      <c r="L60" s="5"/>
    </row>
    <row r="61" spans="1:12">
      <c r="A61" s="3" t="s">
        <v>248</v>
      </c>
      <c r="B61" s="3" t="s">
        <v>17</v>
      </c>
      <c r="C61" s="3" t="s">
        <v>25</v>
      </c>
      <c r="D61" s="3" t="s">
        <v>211</v>
      </c>
      <c r="E61" s="3">
        <v>4</v>
      </c>
      <c r="F61" s="7" t="s">
        <v>339</v>
      </c>
      <c r="G61" s="5"/>
      <c r="H61" s="5"/>
      <c r="I61" s="5"/>
      <c r="J61" s="3"/>
      <c r="K61" s="3"/>
      <c r="L61" s="5"/>
    </row>
    <row r="62" spans="1:12">
      <c r="A62" s="3" t="s">
        <v>254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337</v>
      </c>
      <c r="G62" s="5"/>
      <c r="H62" s="5"/>
      <c r="I62" s="5"/>
      <c r="L62" s="5"/>
    </row>
    <row r="63" spans="1:12">
      <c r="A63" s="3" t="s">
        <v>255</v>
      </c>
      <c r="B63" s="3" t="s">
        <v>17</v>
      </c>
      <c r="C63" s="3" t="s">
        <v>26</v>
      </c>
      <c r="D63" s="3" t="s">
        <v>235</v>
      </c>
      <c r="E63" s="3">
        <v>4</v>
      </c>
      <c r="F63" s="7" t="s">
        <v>337</v>
      </c>
      <c r="G63" s="5"/>
      <c r="H63" s="5"/>
      <c r="I63" s="5"/>
      <c r="J63" s="3"/>
      <c r="K63" s="3"/>
      <c r="L63" s="5"/>
    </row>
    <row r="64" spans="1:12">
      <c r="A64" s="3" t="s">
        <v>256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337</v>
      </c>
      <c r="G64" s="5"/>
      <c r="H64" s="5"/>
      <c r="I64" s="5"/>
      <c r="L64" s="5"/>
    </row>
    <row r="65" spans="1:12">
      <c r="A65" s="3" t="s">
        <v>257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337</v>
      </c>
      <c r="G65" s="5"/>
      <c r="H65" s="5"/>
      <c r="I65" s="5"/>
      <c r="J65" s="3"/>
      <c r="K65" s="3"/>
      <c r="L65" s="5"/>
    </row>
    <row r="66" spans="1:12">
      <c r="A66" s="3" t="s">
        <v>258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339</v>
      </c>
      <c r="G66" s="5"/>
      <c r="H66" s="5"/>
      <c r="I66" s="5"/>
      <c r="J66" s="3"/>
      <c r="K66" s="3"/>
      <c r="L66" s="5"/>
    </row>
    <row r="67" spans="1:12">
      <c r="A67" s="3" t="s">
        <v>259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339</v>
      </c>
      <c r="G67" s="5"/>
      <c r="H67" s="5"/>
      <c r="I67" s="5"/>
      <c r="J67" s="3"/>
      <c r="K67" s="3"/>
      <c r="L67" s="5"/>
    </row>
    <row r="68" spans="1:12">
      <c r="A68" s="3" t="s">
        <v>260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339</v>
      </c>
      <c r="G68" s="5"/>
      <c r="H68" s="5"/>
      <c r="I68" s="5"/>
      <c r="J68" s="3"/>
      <c r="K68" s="3"/>
      <c r="L68" s="5"/>
    </row>
    <row r="69" spans="1:12">
      <c r="A69" s="3" t="s">
        <v>261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339</v>
      </c>
      <c r="G69" s="5"/>
      <c r="H69" s="5"/>
      <c r="I69" s="5"/>
      <c r="L69" s="5"/>
    </row>
    <row r="70" spans="1:12">
      <c r="A70" s="3" t="s">
        <v>262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339</v>
      </c>
      <c r="G70" s="5"/>
      <c r="H70" s="5"/>
      <c r="I70" s="5"/>
      <c r="L70" s="5"/>
    </row>
    <row r="71" spans="1:12">
      <c r="A71" s="3" t="s">
        <v>263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339</v>
      </c>
      <c r="G71" s="5"/>
      <c r="H71" s="5"/>
      <c r="I71" s="5"/>
      <c r="L71" s="5"/>
    </row>
    <row r="72" spans="1:12">
      <c r="A72" s="3" t="s">
        <v>264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339</v>
      </c>
      <c r="G72" s="5"/>
      <c r="H72" s="5"/>
      <c r="I72" s="5"/>
      <c r="L72" s="5"/>
    </row>
    <row r="73" spans="1:12">
      <c r="A73" s="3" t="s">
        <v>265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339</v>
      </c>
      <c r="G73" s="5"/>
      <c r="H73" s="5"/>
      <c r="I73" s="5"/>
      <c r="L73" s="5"/>
    </row>
    <row r="74" spans="1:12">
      <c r="A74" s="3" t="s">
        <v>266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339</v>
      </c>
      <c r="G74" s="5"/>
      <c r="H74" s="5"/>
      <c r="I74" s="5"/>
      <c r="L74" s="5"/>
    </row>
    <row r="75" spans="1:12">
      <c r="A75" s="3" t="s">
        <v>267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339</v>
      </c>
      <c r="G75" s="5"/>
      <c r="H75" s="5"/>
      <c r="I75" s="5"/>
      <c r="L75" s="5"/>
    </row>
    <row r="76" spans="1:12">
      <c r="A76" s="3" t="s">
        <v>268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339</v>
      </c>
      <c r="G76" s="5"/>
      <c r="H76" s="5"/>
      <c r="I76" s="5"/>
      <c r="L76" s="5"/>
    </row>
    <row r="77" spans="1:12">
      <c r="A77" s="3" t="s">
        <v>269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339</v>
      </c>
      <c r="G77" s="5"/>
      <c r="H77" s="5"/>
      <c r="I77" s="5"/>
      <c r="L77" s="5"/>
    </row>
    <row r="78" spans="1:12">
      <c r="A78" s="3" t="s">
        <v>270</v>
      </c>
      <c r="B78" s="3" t="s">
        <v>17</v>
      </c>
      <c r="C78" s="3" t="s">
        <v>26</v>
      </c>
      <c r="D78" s="3" t="s">
        <v>273</v>
      </c>
      <c r="E78" s="3">
        <v>4</v>
      </c>
      <c r="F78" s="7" t="s">
        <v>339</v>
      </c>
      <c r="G78" s="5"/>
      <c r="H78" s="5"/>
      <c r="I78" s="5"/>
      <c r="L78" s="5"/>
    </row>
    <row r="79" spans="1:12">
      <c r="A79" s="3" t="s">
        <v>271</v>
      </c>
      <c r="B79" s="3" t="s">
        <v>17</v>
      </c>
      <c r="C79" s="3" t="s">
        <v>26</v>
      </c>
      <c r="D79" s="3" t="s">
        <v>211</v>
      </c>
      <c r="E79" s="3">
        <v>4</v>
      </c>
      <c r="F79" s="7" t="s">
        <v>339</v>
      </c>
      <c r="G79" s="5"/>
      <c r="H79" s="5"/>
      <c r="I79" s="5"/>
      <c r="L79" s="5"/>
    </row>
    <row r="80" spans="1:12">
      <c r="A80" s="3" t="s">
        <v>272</v>
      </c>
      <c r="B80" s="3" t="s">
        <v>17</v>
      </c>
      <c r="C80" s="3" t="s">
        <v>26</v>
      </c>
      <c r="D80" s="3" t="s">
        <v>211</v>
      </c>
      <c r="E80" s="3">
        <v>4</v>
      </c>
      <c r="F80" s="7" t="s">
        <v>339</v>
      </c>
      <c r="G80" s="5"/>
      <c r="H80" s="5"/>
      <c r="I80" s="5"/>
      <c r="L80" s="5"/>
    </row>
    <row r="81" spans="1:12">
      <c r="A81" s="3" t="s">
        <v>274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348</v>
      </c>
      <c r="G81" s="5"/>
      <c r="H81" s="5"/>
      <c r="I81" s="5"/>
      <c r="L81" s="5"/>
    </row>
    <row r="82" spans="1:12">
      <c r="A82" s="3" t="s">
        <v>275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348</v>
      </c>
      <c r="G82" s="5"/>
      <c r="H82" s="5"/>
      <c r="I82" s="5"/>
      <c r="L82" s="5"/>
    </row>
    <row r="83" spans="1:12">
      <c r="A83" s="3" t="s">
        <v>276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348</v>
      </c>
      <c r="G83" s="5"/>
      <c r="H83" s="5"/>
      <c r="I83" s="5"/>
      <c r="L83" s="5"/>
    </row>
    <row r="84" spans="1:12">
      <c r="A84" s="3" t="s">
        <v>277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348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350</v>
      </c>
      <c r="G85" s="5"/>
      <c r="H85" s="5"/>
      <c r="I85" s="5"/>
      <c r="J85" s="5"/>
      <c r="K85" s="5"/>
      <c r="L85" s="5"/>
    </row>
    <row r="86" spans="1:12">
      <c r="A86" s="3" t="s">
        <v>278</v>
      </c>
      <c r="B86" s="3" t="s">
        <v>17</v>
      </c>
      <c r="C86" s="3" t="s">
        <v>8</v>
      </c>
      <c r="D86" s="3" t="s">
        <v>211</v>
      </c>
      <c r="E86" s="3">
        <v>3</v>
      </c>
      <c r="F86" s="7" t="s">
        <v>348</v>
      </c>
      <c r="G86" s="5"/>
      <c r="H86" s="5"/>
      <c r="I86" s="5"/>
      <c r="J86" s="5"/>
      <c r="K86" s="5"/>
      <c r="L86" s="5"/>
    </row>
    <row r="87" spans="1:12">
      <c r="A87" s="3" t="s">
        <v>279</v>
      </c>
      <c r="B87" s="3" t="s">
        <v>17</v>
      </c>
      <c r="C87" s="3" t="s">
        <v>8</v>
      </c>
      <c r="D87" s="3" t="s">
        <v>211</v>
      </c>
      <c r="E87" s="3">
        <v>2</v>
      </c>
      <c r="F87" s="7" t="s">
        <v>350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348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348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348</v>
      </c>
      <c r="G90" s="5"/>
      <c r="H90" s="5"/>
      <c r="I90" s="5"/>
      <c r="J90" s="5"/>
      <c r="K90" s="5"/>
      <c r="L90" s="5"/>
    </row>
    <row r="91" spans="1:12">
      <c r="A91" s="3" t="s">
        <v>280</v>
      </c>
      <c r="B91" s="3" t="s">
        <v>17</v>
      </c>
      <c r="C91" s="3" t="s">
        <v>28</v>
      </c>
      <c r="D91" s="3" t="s">
        <v>221</v>
      </c>
      <c r="E91" s="3">
        <v>3</v>
      </c>
      <c r="F91" s="7" t="s">
        <v>348</v>
      </c>
      <c r="G91" s="5"/>
      <c r="H91" s="5"/>
      <c r="I91" s="5"/>
      <c r="J91" s="5"/>
      <c r="K91" s="5"/>
      <c r="L91" s="5"/>
    </row>
    <row r="92" spans="1:12">
      <c r="A92" s="3" t="s">
        <v>281</v>
      </c>
      <c r="B92" s="3" t="s">
        <v>17</v>
      </c>
      <c r="C92" s="3" t="s">
        <v>28</v>
      </c>
      <c r="D92" s="3" t="s">
        <v>221</v>
      </c>
      <c r="E92" s="3">
        <v>3</v>
      </c>
      <c r="F92" s="7" t="s">
        <v>348</v>
      </c>
      <c r="G92" s="5"/>
      <c r="H92" s="5"/>
      <c r="I92" s="5"/>
      <c r="J92" s="5"/>
      <c r="K92" s="5"/>
      <c r="L92" s="5"/>
    </row>
    <row r="93" spans="1:12">
      <c r="A93" s="3" t="s">
        <v>282</v>
      </c>
      <c r="B93" s="3" t="s">
        <v>17</v>
      </c>
      <c r="C93" s="3" t="s">
        <v>28</v>
      </c>
      <c r="D93" s="3" t="s">
        <v>221</v>
      </c>
      <c r="E93" s="3">
        <v>3</v>
      </c>
      <c r="F93" s="7" t="s">
        <v>348</v>
      </c>
      <c r="G93" s="5"/>
      <c r="H93" s="5"/>
      <c r="I93" s="5"/>
      <c r="J93" s="5"/>
      <c r="K93" s="5"/>
      <c r="L93" s="5"/>
    </row>
    <row r="94" spans="1:12">
      <c r="A94" s="3" t="s">
        <v>283</v>
      </c>
      <c r="B94" s="3" t="s">
        <v>17</v>
      </c>
      <c r="C94" s="3" t="s">
        <v>28</v>
      </c>
      <c r="D94" s="3" t="s">
        <v>221</v>
      </c>
      <c r="E94" s="3">
        <v>3</v>
      </c>
      <c r="F94" s="7" t="s">
        <v>348</v>
      </c>
      <c r="G94" s="5"/>
      <c r="H94" s="5"/>
      <c r="I94" s="5"/>
      <c r="J94" s="5"/>
      <c r="K94" s="5"/>
      <c r="L94" s="5"/>
    </row>
    <row r="95" spans="1:12">
      <c r="A95" s="3" t="s">
        <v>284</v>
      </c>
      <c r="B95" s="3" t="s">
        <v>17</v>
      </c>
      <c r="C95" s="3" t="s">
        <v>28</v>
      </c>
      <c r="D95" s="3" t="s">
        <v>211</v>
      </c>
      <c r="E95" s="3">
        <v>3</v>
      </c>
      <c r="F95" s="7" t="s">
        <v>348</v>
      </c>
      <c r="G95" s="5"/>
      <c r="H95" s="5"/>
      <c r="I95" s="5"/>
      <c r="J95" s="5"/>
      <c r="K95" s="5"/>
      <c r="L95" s="5"/>
    </row>
    <row r="96" spans="1:12">
      <c r="A96" s="3" t="s">
        <v>285</v>
      </c>
      <c r="B96" s="3" t="s">
        <v>17</v>
      </c>
      <c r="C96" s="3" t="s">
        <v>28</v>
      </c>
      <c r="D96" s="3" t="s">
        <v>211</v>
      </c>
      <c r="E96" s="3">
        <v>3</v>
      </c>
      <c r="F96" s="7" t="s">
        <v>348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339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339</v>
      </c>
      <c r="G98" s="5"/>
      <c r="H98" s="5"/>
      <c r="I98" s="5"/>
      <c r="J98" s="5"/>
      <c r="K98" s="5"/>
      <c r="L98" s="5"/>
    </row>
    <row r="99" spans="1:12">
      <c r="A99" s="3" t="s">
        <v>286</v>
      </c>
      <c r="B99" s="3" t="s">
        <v>17</v>
      </c>
      <c r="C99" s="3" t="s">
        <v>10</v>
      </c>
      <c r="D99" s="3" t="s">
        <v>221</v>
      </c>
      <c r="E99" s="3">
        <v>4</v>
      </c>
      <c r="F99" s="7" t="s">
        <v>339</v>
      </c>
      <c r="G99" s="5"/>
      <c r="H99" s="5"/>
      <c r="I99" s="5"/>
      <c r="J99" s="5"/>
      <c r="K99" s="5"/>
      <c r="L99" s="5"/>
    </row>
    <row r="100" spans="1:12">
      <c r="A100" s="3" t="s">
        <v>287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339</v>
      </c>
      <c r="G100" s="5"/>
      <c r="H100" s="5"/>
      <c r="I100" s="5"/>
      <c r="J100" s="5"/>
      <c r="K100" s="5"/>
      <c r="L100" s="5"/>
    </row>
    <row r="101" spans="1:12">
      <c r="A101" s="3" t="s">
        <v>288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339</v>
      </c>
      <c r="G101" s="5"/>
      <c r="H101" s="5"/>
      <c r="I101" s="5"/>
      <c r="J101" s="5"/>
      <c r="K101" s="5"/>
      <c r="L101" s="5"/>
    </row>
    <row r="102" spans="1:12">
      <c r="A102" s="3" t="s">
        <v>289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339</v>
      </c>
      <c r="G102" s="5"/>
      <c r="H102" s="5"/>
      <c r="I102" s="5"/>
      <c r="J102" s="5"/>
      <c r="K102" s="5"/>
      <c r="L102" s="5"/>
    </row>
    <row r="103" spans="1:12">
      <c r="A103" s="3" t="s">
        <v>290</v>
      </c>
      <c r="B103" s="3" t="s">
        <v>17</v>
      </c>
      <c r="C103" s="3" t="s">
        <v>10</v>
      </c>
      <c r="D103" s="3" t="s">
        <v>211</v>
      </c>
      <c r="E103" s="3">
        <v>4</v>
      </c>
      <c r="F103" s="7" t="s">
        <v>339</v>
      </c>
      <c r="G103" s="5"/>
      <c r="H103" s="5"/>
      <c r="I103" s="5"/>
      <c r="J103" s="5"/>
      <c r="K103" s="5"/>
      <c r="L103" s="5"/>
    </row>
    <row r="104" spans="1:12">
      <c r="A104" s="3" t="s">
        <v>291</v>
      </c>
      <c r="B104" s="3" t="s">
        <v>17</v>
      </c>
      <c r="C104" s="3" t="s">
        <v>10</v>
      </c>
      <c r="D104" s="3" t="s">
        <v>211</v>
      </c>
      <c r="E104" s="3">
        <v>4</v>
      </c>
      <c r="F104" s="7" t="s">
        <v>339</v>
      </c>
      <c r="G104" s="5"/>
      <c r="H104" s="5"/>
      <c r="I104" s="5"/>
      <c r="J104" s="5"/>
      <c r="K104" s="5"/>
      <c r="L104" s="5"/>
    </row>
    <row r="105" spans="1:12">
      <c r="A105" s="3" t="s">
        <v>292</v>
      </c>
      <c r="B105" s="3" t="s">
        <v>17</v>
      </c>
      <c r="C105" s="3" t="s">
        <v>10</v>
      </c>
      <c r="D105" s="3" t="s">
        <v>211</v>
      </c>
      <c r="E105" s="3">
        <v>4</v>
      </c>
      <c r="F105" s="7" t="s">
        <v>339</v>
      </c>
      <c r="G105" s="5"/>
      <c r="H105" s="5"/>
      <c r="I105" s="5"/>
      <c r="J105" s="5"/>
      <c r="K105" s="5"/>
      <c r="L105" s="5"/>
    </row>
    <row r="106" spans="1:12">
      <c r="A106" s="3" t="s">
        <v>293</v>
      </c>
      <c r="B106" s="3" t="s">
        <v>17</v>
      </c>
      <c r="C106" s="3" t="s">
        <v>10</v>
      </c>
      <c r="D106" s="3" t="s">
        <v>211</v>
      </c>
      <c r="E106" s="3">
        <v>2</v>
      </c>
      <c r="F106" s="7" t="s">
        <v>350</v>
      </c>
      <c r="G106" s="5"/>
      <c r="H106" s="5"/>
      <c r="I106" s="5"/>
      <c r="J106" s="5"/>
      <c r="K106" s="5"/>
      <c r="L106" s="5"/>
    </row>
    <row r="107" spans="1:12">
      <c r="A107" s="3" t="s">
        <v>294</v>
      </c>
      <c r="B107" s="3" t="s">
        <v>17</v>
      </c>
      <c r="C107" s="3" t="s">
        <v>10</v>
      </c>
      <c r="D107" s="3" t="s">
        <v>211</v>
      </c>
      <c r="E107" s="3">
        <v>4</v>
      </c>
      <c r="F107" s="7" t="s">
        <v>339</v>
      </c>
      <c r="G107" s="5"/>
      <c r="H107" s="5"/>
      <c r="I107" s="5"/>
      <c r="J107" s="5"/>
      <c r="K107" s="5"/>
      <c r="L107" s="5"/>
    </row>
    <row r="108" spans="1:12">
      <c r="A108" s="3" t="s">
        <v>295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339</v>
      </c>
      <c r="G108" s="5"/>
      <c r="H108" s="5"/>
      <c r="I108" s="5"/>
      <c r="J108" s="5"/>
      <c r="K108" s="5"/>
      <c r="L108" s="5"/>
    </row>
    <row r="109" spans="1:12">
      <c r="A109" s="3" t="s">
        <v>296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339</v>
      </c>
      <c r="G109" s="5"/>
      <c r="H109" s="5"/>
      <c r="I109" s="5"/>
      <c r="J109" s="5"/>
      <c r="K109" s="5"/>
      <c r="L109" s="5"/>
    </row>
    <row r="110" spans="1:12">
      <c r="A110" s="3" t="s">
        <v>297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339</v>
      </c>
      <c r="G110" s="5"/>
      <c r="H110" s="5"/>
      <c r="I110" s="5"/>
      <c r="J110" s="5"/>
      <c r="K110" s="5"/>
      <c r="L110" s="5"/>
    </row>
    <row r="111" spans="1:12">
      <c r="A111" s="3" t="s">
        <v>298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339</v>
      </c>
      <c r="G111" s="5"/>
      <c r="H111" s="5"/>
      <c r="I111" s="5"/>
      <c r="J111" s="5"/>
      <c r="K111" s="5"/>
      <c r="L111" s="5"/>
    </row>
    <row r="112" spans="1:12">
      <c r="A112" s="3" t="s">
        <v>299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339</v>
      </c>
      <c r="G112" s="5"/>
      <c r="H112" s="5"/>
      <c r="I112" s="5"/>
      <c r="J112" s="5"/>
      <c r="K112" s="5"/>
      <c r="L112" s="5"/>
    </row>
    <row r="113" spans="1:12">
      <c r="A113" s="3" t="s">
        <v>300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339</v>
      </c>
      <c r="G113" s="5"/>
      <c r="H113" s="5"/>
      <c r="I113" s="5"/>
      <c r="J113" s="5"/>
      <c r="K113" s="5"/>
      <c r="L113" s="5"/>
    </row>
    <row r="114" spans="1:12">
      <c r="A114" s="3" t="s">
        <v>301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339</v>
      </c>
      <c r="G114" s="5"/>
      <c r="H114" s="5"/>
      <c r="I114" s="5"/>
      <c r="J114" s="5"/>
      <c r="K114" s="5"/>
      <c r="L114" s="5"/>
    </row>
    <row r="115" spans="1:12">
      <c r="A115" s="3" t="s">
        <v>302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339</v>
      </c>
      <c r="G115" s="5"/>
      <c r="H115" s="5"/>
      <c r="I115" s="5"/>
      <c r="J115" s="5"/>
      <c r="K115" s="5"/>
      <c r="L115" s="5"/>
    </row>
    <row r="116" spans="1:12">
      <c r="A116" s="3" t="s">
        <v>303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339</v>
      </c>
      <c r="G116" s="5"/>
      <c r="H116" s="5"/>
      <c r="I116" s="5"/>
      <c r="J116" s="5"/>
      <c r="K116" s="5"/>
      <c r="L116" s="5"/>
    </row>
    <row r="117" spans="1:12">
      <c r="A117" s="3" t="s">
        <v>304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339</v>
      </c>
      <c r="G117" s="5"/>
      <c r="H117" s="5"/>
      <c r="I117" s="5"/>
      <c r="J117" s="5"/>
      <c r="K117" s="5"/>
      <c r="L117" s="5"/>
    </row>
    <row r="118" spans="1:12">
      <c r="A118" s="3" t="s">
        <v>305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339</v>
      </c>
      <c r="G118" s="5"/>
      <c r="H118" s="5"/>
      <c r="I118" s="5"/>
      <c r="J118" s="5"/>
      <c r="K118" s="5"/>
      <c r="L118" s="5"/>
    </row>
    <row r="119" spans="1:12">
      <c r="A119" s="3" t="s">
        <v>306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339</v>
      </c>
      <c r="G119" s="5"/>
      <c r="H119" s="5"/>
      <c r="I119" s="5"/>
      <c r="J119" s="5"/>
      <c r="K119" s="5"/>
      <c r="L119" s="5"/>
    </row>
    <row r="120" spans="1:12">
      <c r="A120" s="3" t="s">
        <v>307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339</v>
      </c>
      <c r="G120" s="5"/>
      <c r="H120" s="5"/>
      <c r="I120" s="5"/>
      <c r="J120" s="5"/>
      <c r="K120" s="5"/>
      <c r="L120" s="5"/>
    </row>
    <row r="121" spans="1:12">
      <c r="A121" s="3" t="s">
        <v>308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339</v>
      </c>
      <c r="G121" s="5"/>
      <c r="H121" s="5"/>
      <c r="I121" s="5"/>
      <c r="J121" s="5"/>
      <c r="K121" s="5"/>
      <c r="L121" s="5"/>
    </row>
    <row r="122" spans="1:12">
      <c r="A122" s="3" t="s">
        <v>309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339</v>
      </c>
      <c r="G122" s="5"/>
      <c r="H122" s="5"/>
      <c r="I122" s="5"/>
      <c r="J122" s="5"/>
      <c r="K122" s="5"/>
      <c r="L122" s="5"/>
    </row>
    <row r="123" spans="1:12">
      <c r="A123" s="3" t="s">
        <v>310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339</v>
      </c>
      <c r="G123" s="5"/>
      <c r="H123" s="5"/>
      <c r="I123" s="5"/>
      <c r="J123" s="5"/>
      <c r="K123" s="5"/>
      <c r="L123" s="5"/>
    </row>
    <row r="124" spans="1:12">
      <c r="A124" s="3" t="s">
        <v>311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339</v>
      </c>
      <c r="G124" s="5"/>
      <c r="H124" s="5"/>
      <c r="I124" s="5"/>
      <c r="J124" s="5"/>
      <c r="K124" s="5"/>
      <c r="L124" s="5"/>
    </row>
    <row r="125" spans="1:12">
      <c r="A125" s="3" t="s">
        <v>312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339</v>
      </c>
      <c r="G125" s="5"/>
      <c r="H125" s="5"/>
      <c r="I125" s="5"/>
      <c r="J125" s="5"/>
      <c r="K125" s="5"/>
      <c r="L125" s="5"/>
    </row>
    <row r="126" spans="1:12">
      <c r="A126" s="3" t="s">
        <v>314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339</v>
      </c>
      <c r="G126" s="5"/>
      <c r="H126" s="5"/>
      <c r="I126" s="5"/>
      <c r="J126" s="5"/>
      <c r="K126" s="5"/>
      <c r="L126" s="5"/>
    </row>
    <row r="127" spans="1:12">
      <c r="A127" s="3" t="s">
        <v>313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339</v>
      </c>
      <c r="G127" s="5"/>
      <c r="H127" s="5"/>
      <c r="I127" s="5"/>
      <c r="J127" s="5"/>
      <c r="K127" s="5"/>
      <c r="L127" s="5"/>
    </row>
    <row r="128" spans="1:12">
      <c r="A128" s="3" t="s">
        <v>315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339</v>
      </c>
      <c r="G128" s="5"/>
      <c r="H128" s="5"/>
      <c r="I128" s="5"/>
      <c r="J128" s="5"/>
      <c r="K128" s="5"/>
      <c r="L128" s="5"/>
    </row>
    <row r="129" spans="1:12">
      <c r="A129" s="3" t="s">
        <v>316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339</v>
      </c>
      <c r="G129" s="5"/>
      <c r="H129" s="5"/>
      <c r="I129" s="5"/>
      <c r="J129" s="5"/>
      <c r="K129" s="5"/>
      <c r="L129" s="5"/>
    </row>
    <row r="130" spans="1:12">
      <c r="A130" s="3" t="s">
        <v>317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339</v>
      </c>
      <c r="G130" s="5"/>
      <c r="H130" s="5"/>
      <c r="I130" s="5"/>
      <c r="J130" s="5"/>
      <c r="K130" s="5"/>
      <c r="L130" s="5"/>
    </row>
    <row r="131" spans="1:12">
      <c r="A131" s="3" t="s">
        <v>321</v>
      </c>
      <c r="B131" s="3" t="s">
        <v>17</v>
      </c>
      <c r="C131" s="3" t="s">
        <v>30</v>
      </c>
      <c r="D131" s="3" t="s">
        <v>211</v>
      </c>
      <c r="E131" s="3">
        <v>4</v>
      </c>
      <c r="F131" s="7" t="s">
        <v>339</v>
      </c>
      <c r="G131" s="5"/>
      <c r="H131" s="5"/>
      <c r="I131" s="5"/>
      <c r="J131" s="5"/>
      <c r="K131" s="5"/>
      <c r="L131" s="5"/>
    </row>
    <row r="132" spans="1:12">
      <c r="A132" s="3" t="s">
        <v>322</v>
      </c>
      <c r="B132" s="3" t="s">
        <v>17</v>
      </c>
      <c r="C132" s="3" t="s">
        <v>30</v>
      </c>
      <c r="D132" s="3" t="s">
        <v>211</v>
      </c>
      <c r="E132" s="3">
        <v>4</v>
      </c>
      <c r="F132" s="7" t="s">
        <v>339</v>
      </c>
      <c r="G132" s="5"/>
      <c r="H132" s="5"/>
      <c r="I132" s="5"/>
      <c r="J132" s="5"/>
      <c r="K132" s="5"/>
      <c r="L132" s="5"/>
    </row>
    <row r="133" spans="1:12">
      <c r="A133" s="3" t="s">
        <v>323</v>
      </c>
      <c r="B133" s="3" t="s">
        <v>17</v>
      </c>
      <c r="C133" s="3" t="s">
        <v>30</v>
      </c>
      <c r="D133" s="3" t="s">
        <v>211</v>
      </c>
      <c r="E133" s="3">
        <v>4</v>
      </c>
      <c r="F133" s="7" t="s">
        <v>339</v>
      </c>
      <c r="G133" s="5"/>
      <c r="H133" s="5"/>
      <c r="I133" s="5"/>
      <c r="J133" s="5"/>
      <c r="K133" s="5"/>
      <c r="L133" s="5"/>
    </row>
    <row r="134" spans="1:12">
      <c r="A134" s="3" t="s">
        <v>324</v>
      </c>
      <c r="B134" s="3" t="s">
        <v>17</v>
      </c>
      <c r="C134" s="3" t="s">
        <v>30</v>
      </c>
      <c r="D134" s="3" t="s">
        <v>211</v>
      </c>
      <c r="E134" s="3">
        <v>4</v>
      </c>
      <c r="F134" s="7" t="s">
        <v>339</v>
      </c>
      <c r="G134" s="5"/>
      <c r="H134" s="5"/>
      <c r="I134" s="5"/>
      <c r="J134" s="5"/>
      <c r="K134" s="5"/>
      <c r="L134" s="5"/>
    </row>
    <row r="135" spans="1:12">
      <c r="A135" s="3" t="s">
        <v>325</v>
      </c>
      <c r="B135" s="3" t="s">
        <v>17</v>
      </c>
      <c r="C135" s="3" t="s">
        <v>30</v>
      </c>
      <c r="D135" s="3" t="s">
        <v>211</v>
      </c>
      <c r="E135" s="3">
        <v>4</v>
      </c>
      <c r="F135" s="7" t="s">
        <v>339</v>
      </c>
      <c r="G135" s="5"/>
      <c r="H135" s="5"/>
      <c r="I135" s="5"/>
      <c r="J135" s="5"/>
      <c r="K135" s="5"/>
      <c r="L135" s="5"/>
    </row>
    <row r="136" spans="1:12">
      <c r="A136" s="3" t="s">
        <v>326</v>
      </c>
      <c r="B136" s="3" t="s">
        <v>17</v>
      </c>
      <c r="C136" s="3" t="s">
        <v>30</v>
      </c>
      <c r="D136" s="3" t="s">
        <v>211</v>
      </c>
      <c r="E136" s="3">
        <v>4</v>
      </c>
      <c r="F136" s="7" t="s">
        <v>339</v>
      </c>
      <c r="G136" s="5"/>
      <c r="H136" s="5"/>
      <c r="I136" s="5"/>
      <c r="J136" s="5"/>
      <c r="K136" s="5"/>
      <c r="L136" s="5"/>
    </row>
    <row r="137" spans="1:12">
      <c r="A137" s="3" t="s">
        <v>327</v>
      </c>
      <c r="B137" s="3" t="s">
        <v>17</v>
      </c>
      <c r="C137" s="3" t="s">
        <v>30</v>
      </c>
      <c r="D137" s="3" t="s">
        <v>211</v>
      </c>
      <c r="E137" s="3">
        <v>4</v>
      </c>
      <c r="F137" s="7" t="s">
        <v>339</v>
      </c>
      <c r="G137" s="5"/>
      <c r="H137" s="5"/>
      <c r="I137" s="5"/>
      <c r="J137" s="5"/>
      <c r="K137" s="5"/>
      <c r="L137" s="5"/>
    </row>
    <row r="138" spans="1:12">
      <c r="A138" s="3" t="s">
        <v>328</v>
      </c>
      <c r="B138" s="3" t="s">
        <v>17</v>
      </c>
      <c r="C138" s="3" t="s">
        <v>30</v>
      </c>
      <c r="D138" s="3" t="s">
        <v>211</v>
      </c>
      <c r="E138" s="3">
        <v>4</v>
      </c>
      <c r="F138" s="7" t="s">
        <v>339</v>
      </c>
      <c r="G138" s="5"/>
      <c r="H138" s="5"/>
      <c r="I138" s="5"/>
      <c r="J138" s="5"/>
      <c r="K138" s="5"/>
      <c r="L138" s="5"/>
    </row>
    <row r="139" spans="1:12">
      <c r="A139" s="3" t="s">
        <v>319</v>
      </c>
      <c r="B139" s="3" t="s">
        <v>17</v>
      </c>
      <c r="C139" s="3" t="s">
        <v>319</v>
      </c>
      <c r="D139" s="3" t="s">
        <v>253</v>
      </c>
      <c r="E139" s="3">
        <v>4</v>
      </c>
      <c r="F139" s="7" t="s">
        <v>339</v>
      </c>
      <c r="G139" s="5"/>
      <c r="H139" s="5"/>
      <c r="I139" s="5"/>
      <c r="J139" s="5"/>
      <c r="K139" s="5"/>
      <c r="L139" s="5"/>
    </row>
    <row r="140" spans="1:12">
      <c r="A140" s="3" t="s">
        <v>318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339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348</v>
      </c>
      <c r="G141" s="5"/>
      <c r="H141" s="5"/>
      <c r="I141" s="5"/>
      <c r="J141" s="5"/>
      <c r="K141" s="5"/>
      <c r="L141" s="5"/>
    </row>
    <row r="142" spans="1:12">
      <c r="A142" s="3" t="s">
        <v>329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348</v>
      </c>
      <c r="G142" s="5"/>
      <c r="H142" s="5"/>
      <c r="I142" s="5"/>
      <c r="J142" s="5"/>
      <c r="K142" s="5"/>
      <c r="L142" s="5"/>
    </row>
    <row r="143" spans="1:12">
      <c r="A143" s="3" t="s">
        <v>330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348</v>
      </c>
      <c r="G143" s="5"/>
      <c r="H143" s="5"/>
      <c r="I143" s="5"/>
      <c r="J143" s="5"/>
      <c r="K143" s="5"/>
      <c r="L143" s="5"/>
    </row>
    <row r="144" spans="1:12">
      <c r="A144" s="3" t="s">
        <v>331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348</v>
      </c>
      <c r="G144" s="5"/>
      <c r="H144" s="5"/>
      <c r="I144" s="5"/>
      <c r="J144" s="5"/>
      <c r="K144" s="5"/>
      <c r="L144" s="5"/>
    </row>
    <row r="145" spans="1:12">
      <c r="A145" s="3" t="s">
        <v>332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348</v>
      </c>
      <c r="G145" s="5"/>
      <c r="H145" s="5"/>
      <c r="I145" s="5"/>
      <c r="J145" s="5"/>
      <c r="K145" s="5"/>
      <c r="L145" s="5"/>
    </row>
    <row r="146" spans="1:12">
      <c r="A146" s="3" t="s">
        <v>333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348</v>
      </c>
      <c r="G146" s="5"/>
      <c r="H146" s="5"/>
      <c r="I146" s="5"/>
      <c r="J146" s="5"/>
      <c r="K146" s="5"/>
      <c r="L146" s="5"/>
    </row>
    <row r="147" spans="1:12">
      <c r="A147" s="3" t="s">
        <v>334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348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348</v>
      </c>
      <c r="G148" s="5"/>
      <c r="H148" s="5"/>
      <c r="I148" s="5"/>
      <c r="J148" s="5"/>
      <c r="K148" s="5"/>
      <c r="L148" s="5"/>
    </row>
    <row r="149" spans="1:12">
      <c r="A149" s="3" t="s">
        <v>335</v>
      </c>
      <c r="B149" s="3" t="s">
        <v>17</v>
      </c>
      <c r="C149" s="3" t="s">
        <v>32</v>
      </c>
      <c r="D149" s="3" t="s">
        <v>273</v>
      </c>
      <c r="E149" s="3">
        <v>3</v>
      </c>
      <c r="F149" s="7" t="s">
        <v>348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211</v>
      </c>
      <c r="E150" s="3">
        <v>3</v>
      </c>
      <c r="F150" s="7" t="s">
        <v>348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48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76" customWidth="1"/>
    <col min="2" max="2" width="7.5" style="76" customWidth="1"/>
    <col min="3" max="3" width="0.8984375" style="76" customWidth="1"/>
    <col min="4" max="4" width="4" style="76" customWidth="1"/>
    <col min="5" max="5" width="5.8984375" style="76" customWidth="1"/>
    <col min="6" max="6" width="5.59765625" style="76" customWidth="1"/>
    <col min="7" max="7" width="11.19921875" style="76" customWidth="1"/>
    <col min="8" max="8" width="9.09765625" style="76" customWidth="1"/>
    <col min="9" max="9" width="12.69921875" style="76" customWidth="1"/>
    <col min="10" max="10" width="1.3984375" style="76" customWidth="1"/>
    <col min="11" max="11" width="1" style="76" customWidth="1"/>
    <col min="12" max="12" width="10.69921875" style="76" customWidth="1"/>
    <col min="13" max="13" width="10.09765625" style="76" customWidth="1"/>
    <col min="14" max="14" width="16.59765625" style="76" customWidth="1"/>
    <col min="15" max="15" width="8.3984375" style="76" customWidth="1"/>
    <col min="16" max="16" width="9.5" style="76" customWidth="1"/>
    <col min="17" max="17" width="1.19921875" style="76" customWidth="1"/>
    <col min="18" max="18" width="0.5" style="76" customWidth="1"/>
    <col min="19" max="26" width="0" style="76" hidden="1" customWidth="1"/>
    <col min="27" max="16384" width="11" style="76" hidden="1"/>
  </cols>
  <sheetData>
    <row r="1" spans="2:26" ht="15.6"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2:26" ht="36.6" thickBot="1">
      <c r="B2" s="639" t="s">
        <v>368</v>
      </c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75"/>
      <c r="S2" s="75"/>
      <c r="T2" s="75"/>
      <c r="U2" s="75"/>
      <c r="V2" s="75"/>
      <c r="W2" s="75"/>
      <c r="X2" s="75"/>
      <c r="Y2" s="75"/>
      <c r="Z2" s="75"/>
    </row>
    <row r="3" spans="2:26" ht="24" customHeight="1" thickBot="1">
      <c r="B3" s="77" t="s">
        <v>369</v>
      </c>
      <c r="C3" s="641" t="s">
        <v>370</v>
      </c>
      <c r="D3" s="642"/>
      <c r="E3" s="642"/>
      <c r="F3" s="642"/>
      <c r="G3" s="642"/>
      <c r="H3" s="642"/>
      <c r="I3" s="642"/>
      <c r="J3" s="643"/>
      <c r="K3" s="644" t="s">
        <v>371</v>
      </c>
      <c r="L3" s="645"/>
      <c r="M3" s="645"/>
      <c r="N3" s="645"/>
      <c r="O3" s="645"/>
      <c r="P3" s="645"/>
      <c r="Q3" s="646"/>
      <c r="R3" s="75"/>
      <c r="S3" s="75"/>
      <c r="T3" s="75"/>
      <c r="U3" s="75"/>
      <c r="V3" s="75"/>
      <c r="W3" s="75"/>
      <c r="X3" s="75"/>
      <c r="Y3" s="75"/>
      <c r="Z3" s="75"/>
    </row>
    <row r="4" spans="2:26" ht="15.6">
      <c r="B4" s="604" t="s">
        <v>372</v>
      </c>
      <c r="C4" s="78" t="s">
        <v>373</v>
      </c>
      <c r="D4" s="79"/>
      <c r="E4" s="79"/>
      <c r="F4" s="79"/>
      <c r="G4" s="79"/>
      <c r="H4" s="79"/>
      <c r="I4" s="79"/>
      <c r="J4" s="80"/>
      <c r="K4" s="81" t="s">
        <v>373</v>
      </c>
      <c r="L4" s="79"/>
      <c r="M4" s="79"/>
      <c r="N4" s="79"/>
      <c r="O4" s="79"/>
      <c r="P4" s="79"/>
      <c r="Q4" s="80"/>
      <c r="R4" s="75"/>
      <c r="S4" s="75"/>
      <c r="T4" s="75"/>
      <c r="U4" s="75"/>
      <c r="V4" s="75"/>
      <c r="W4" s="75"/>
      <c r="X4" s="75"/>
      <c r="Y4" s="75"/>
      <c r="Z4" s="75"/>
    </row>
    <row r="5" spans="2:26" ht="18.75" customHeight="1">
      <c r="B5" s="591"/>
      <c r="C5" s="82"/>
      <c r="D5" s="610" t="s">
        <v>374</v>
      </c>
      <c r="E5" s="599"/>
      <c r="F5" s="599"/>
      <c r="G5" s="598"/>
      <c r="H5" s="614" t="s">
        <v>375</v>
      </c>
      <c r="I5" s="599"/>
      <c r="J5" s="83"/>
      <c r="K5" s="84"/>
      <c r="L5" s="610" t="s">
        <v>374</v>
      </c>
      <c r="M5" s="599"/>
      <c r="N5" s="598"/>
      <c r="O5" s="614" t="s">
        <v>376</v>
      </c>
      <c r="P5" s="599"/>
      <c r="Q5" s="83"/>
      <c r="R5" s="75"/>
      <c r="S5" s="75"/>
      <c r="T5" s="75"/>
      <c r="U5" s="75"/>
      <c r="V5" s="75"/>
      <c r="W5" s="75"/>
      <c r="X5" s="75"/>
      <c r="Y5" s="75"/>
      <c r="Z5" s="75"/>
    </row>
    <row r="6" spans="2:26" ht="18.75" customHeight="1">
      <c r="B6" s="591"/>
      <c r="C6" s="82"/>
      <c r="D6" s="610" t="s">
        <v>377</v>
      </c>
      <c r="E6" s="599"/>
      <c r="F6" s="599"/>
      <c r="G6" s="598"/>
      <c r="H6" s="614" t="s">
        <v>378</v>
      </c>
      <c r="I6" s="599"/>
      <c r="J6" s="83"/>
      <c r="K6" s="84"/>
      <c r="L6" s="610" t="s">
        <v>377</v>
      </c>
      <c r="M6" s="599"/>
      <c r="N6" s="598"/>
      <c r="O6" s="614" t="s">
        <v>379</v>
      </c>
      <c r="P6" s="599"/>
      <c r="Q6" s="83"/>
      <c r="R6" s="75"/>
      <c r="S6" s="75"/>
      <c r="T6" s="75"/>
      <c r="U6" s="75"/>
      <c r="V6" s="75"/>
      <c r="W6" s="75"/>
      <c r="X6" s="75"/>
      <c r="Y6" s="75"/>
      <c r="Z6" s="75"/>
    </row>
    <row r="7" spans="2:26" ht="18.75" customHeight="1">
      <c r="B7" s="591"/>
      <c r="C7" s="82"/>
      <c r="D7" s="610" t="s">
        <v>380</v>
      </c>
      <c r="E7" s="599"/>
      <c r="F7" s="599"/>
      <c r="G7" s="598"/>
      <c r="H7" s="614" t="s">
        <v>381</v>
      </c>
      <c r="I7" s="599"/>
      <c r="J7" s="83"/>
      <c r="K7" s="84"/>
      <c r="L7" s="610" t="s">
        <v>380</v>
      </c>
      <c r="M7" s="599"/>
      <c r="N7" s="598"/>
      <c r="O7" s="614" t="s">
        <v>382</v>
      </c>
      <c r="P7" s="599"/>
      <c r="Q7" s="83"/>
      <c r="R7" s="75"/>
      <c r="S7" s="75"/>
      <c r="T7" s="75"/>
      <c r="U7" s="75"/>
      <c r="V7" s="75"/>
      <c r="W7" s="75"/>
      <c r="X7" s="75"/>
      <c r="Y7" s="75"/>
      <c r="Z7" s="75"/>
    </row>
    <row r="8" spans="2:26" ht="18.75" customHeight="1">
      <c r="B8" s="591"/>
      <c r="C8" s="82"/>
      <c r="D8" s="610" t="s">
        <v>383</v>
      </c>
      <c r="E8" s="599"/>
      <c r="F8" s="599"/>
      <c r="G8" s="598"/>
      <c r="H8" s="614" t="s">
        <v>384</v>
      </c>
      <c r="I8" s="599"/>
      <c r="J8" s="83"/>
      <c r="K8" s="84"/>
      <c r="L8" s="610" t="s">
        <v>383</v>
      </c>
      <c r="M8" s="599"/>
      <c r="N8" s="598"/>
      <c r="O8" s="614" t="s">
        <v>384</v>
      </c>
      <c r="P8" s="599"/>
      <c r="Q8" s="83"/>
      <c r="R8" s="75"/>
      <c r="S8" s="75"/>
      <c r="T8" s="75"/>
      <c r="U8" s="75"/>
      <c r="V8" s="75"/>
      <c r="W8" s="75"/>
      <c r="X8" s="75"/>
      <c r="Y8" s="75"/>
      <c r="Z8" s="75"/>
    </row>
    <row r="9" spans="2:26" ht="8.25" customHeight="1" thickBot="1">
      <c r="B9" s="592"/>
      <c r="C9" s="85"/>
      <c r="D9" s="86"/>
      <c r="E9" s="86"/>
      <c r="F9" s="86"/>
      <c r="G9" s="86"/>
      <c r="H9" s="86"/>
      <c r="I9" s="86"/>
      <c r="J9" s="87"/>
      <c r="K9" s="88"/>
      <c r="L9" s="86"/>
      <c r="M9" s="86"/>
      <c r="N9" s="86"/>
      <c r="O9" s="86"/>
      <c r="P9" s="86"/>
      <c r="Q9" s="87"/>
      <c r="R9" s="75"/>
      <c r="S9" s="75"/>
      <c r="T9" s="75"/>
      <c r="U9" s="75"/>
      <c r="V9" s="75"/>
      <c r="W9" s="75"/>
      <c r="X9" s="75"/>
      <c r="Y9" s="75"/>
      <c r="Z9" s="75"/>
    </row>
    <row r="10" spans="2:26" ht="6.75" customHeight="1">
      <c r="B10" s="604" t="s">
        <v>385</v>
      </c>
      <c r="C10" s="78"/>
      <c r="D10" s="79"/>
      <c r="E10" s="79"/>
      <c r="F10" s="79"/>
      <c r="G10" s="79"/>
      <c r="H10" s="79"/>
      <c r="I10" s="79"/>
      <c r="J10" s="80"/>
      <c r="K10" s="81"/>
      <c r="L10" s="79"/>
      <c r="M10" s="79"/>
      <c r="N10" s="79"/>
      <c r="O10" s="79"/>
      <c r="P10" s="79"/>
      <c r="Q10" s="80"/>
      <c r="R10" s="75"/>
      <c r="S10" s="75"/>
      <c r="T10" s="75"/>
      <c r="U10" s="75"/>
      <c r="V10" s="75"/>
      <c r="W10" s="75"/>
      <c r="X10" s="75"/>
      <c r="Y10" s="75"/>
      <c r="Z10" s="75"/>
    </row>
    <row r="11" spans="2:26" ht="16.5" customHeight="1">
      <c r="B11" s="591"/>
      <c r="C11" s="82"/>
      <c r="D11" s="610" t="s">
        <v>320</v>
      </c>
      <c r="E11" s="599"/>
      <c r="F11" s="599"/>
      <c r="G11" s="614" t="s">
        <v>386</v>
      </c>
      <c r="H11" s="599"/>
      <c r="I11" s="599"/>
      <c r="J11" s="83"/>
      <c r="K11" s="84"/>
      <c r="L11" s="635" t="s">
        <v>320</v>
      </c>
      <c r="M11" s="636"/>
      <c r="N11" s="637" t="s">
        <v>387</v>
      </c>
      <c r="O11" s="638"/>
      <c r="P11" s="638"/>
      <c r="Q11" s="83"/>
      <c r="R11" s="75"/>
      <c r="S11" s="75"/>
      <c r="T11" s="75"/>
      <c r="U11" s="75"/>
      <c r="V11" s="75"/>
      <c r="W11" s="75"/>
      <c r="X11" s="75"/>
      <c r="Y11" s="75"/>
      <c r="Z11" s="75"/>
    </row>
    <row r="12" spans="2:26" ht="16.5" customHeight="1">
      <c r="B12" s="591"/>
      <c r="C12" s="82"/>
      <c r="D12" s="610" t="s">
        <v>388</v>
      </c>
      <c r="E12" s="599"/>
      <c r="F12" s="599"/>
      <c r="G12" s="614" t="s">
        <v>389</v>
      </c>
      <c r="H12" s="599"/>
      <c r="I12" s="599"/>
      <c r="J12" s="83"/>
      <c r="K12" s="84"/>
      <c r="L12" s="619"/>
      <c r="M12" s="596"/>
      <c r="N12" s="613"/>
      <c r="O12" s="619"/>
      <c r="P12" s="619"/>
      <c r="Q12" s="83"/>
      <c r="R12" s="75"/>
      <c r="S12" s="75"/>
      <c r="T12" s="75"/>
      <c r="U12" s="75"/>
      <c r="V12" s="75"/>
      <c r="W12" s="75"/>
      <c r="X12" s="75"/>
      <c r="Y12" s="75"/>
      <c r="Z12" s="75"/>
    </row>
    <row r="13" spans="2:26" ht="16.5" customHeight="1">
      <c r="B13" s="591"/>
      <c r="C13" s="82"/>
      <c r="D13" s="610" t="s">
        <v>390</v>
      </c>
      <c r="E13" s="599"/>
      <c r="F13" s="599"/>
      <c r="G13" s="614" t="s">
        <v>391</v>
      </c>
      <c r="H13" s="599"/>
      <c r="I13" s="599"/>
      <c r="J13" s="83"/>
      <c r="K13" s="84"/>
      <c r="L13" s="610" t="s">
        <v>392</v>
      </c>
      <c r="M13" s="598"/>
      <c r="N13" s="614" t="s">
        <v>391</v>
      </c>
      <c r="O13" s="599"/>
      <c r="P13" s="599"/>
      <c r="Q13" s="83"/>
      <c r="R13" s="75"/>
      <c r="S13" s="75"/>
      <c r="T13" s="75"/>
      <c r="U13" s="75"/>
      <c r="V13" s="75"/>
      <c r="W13" s="75"/>
      <c r="X13" s="75"/>
      <c r="Y13" s="75"/>
      <c r="Z13" s="75"/>
    </row>
    <row r="14" spans="2:26" ht="6.75" customHeight="1" thickBot="1">
      <c r="B14" s="592"/>
      <c r="C14" s="85"/>
      <c r="D14" s="86"/>
      <c r="E14" s="86"/>
      <c r="F14" s="86"/>
      <c r="G14" s="86"/>
      <c r="H14" s="86"/>
      <c r="I14" s="86"/>
      <c r="J14" s="87"/>
      <c r="K14" s="88"/>
      <c r="L14" s="86"/>
      <c r="M14" s="86"/>
      <c r="N14" s="86"/>
      <c r="O14" s="86"/>
      <c r="P14" s="86"/>
      <c r="Q14" s="87"/>
      <c r="R14" s="75"/>
      <c r="S14" s="75"/>
      <c r="T14" s="75"/>
      <c r="U14" s="75"/>
      <c r="V14" s="75"/>
      <c r="W14" s="75"/>
      <c r="X14" s="75"/>
      <c r="Y14" s="75"/>
      <c r="Z14" s="75"/>
    </row>
    <row r="15" spans="2:26" ht="6.75" customHeight="1">
      <c r="B15" s="604" t="s">
        <v>393</v>
      </c>
      <c r="C15" s="78"/>
      <c r="D15" s="79"/>
      <c r="E15" s="79"/>
      <c r="F15" s="79"/>
      <c r="G15" s="79"/>
      <c r="H15" s="79"/>
      <c r="I15" s="79"/>
      <c r="J15" s="80"/>
      <c r="K15" s="81"/>
      <c r="L15" s="79"/>
      <c r="M15" s="79"/>
      <c r="N15" s="79"/>
      <c r="O15" s="79"/>
      <c r="P15" s="79"/>
      <c r="Q15" s="80"/>
      <c r="R15" s="75"/>
      <c r="S15" s="75"/>
      <c r="T15" s="75"/>
      <c r="U15" s="75"/>
      <c r="V15" s="75"/>
      <c r="W15" s="75"/>
      <c r="X15" s="75"/>
      <c r="Y15" s="75"/>
      <c r="Z15" s="75"/>
    </row>
    <row r="16" spans="2:26" ht="20.25" customHeight="1">
      <c r="B16" s="591"/>
      <c r="C16" s="82"/>
      <c r="D16" s="610" t="s">
        <v>394</v>
      </c>
      <c r="E16" s="599"/>
      <c r="F16" s="599"/>
      <c r="G16" s="598"/>
      <c r="H16" s="614">
        <v>1</v>
      </c>
      <c r="I16" s="599"/>
      <c r="J16" s="83"/>
      <c r="K16" s="84"/>
      <c r="L16" s="610" t="s">
        <v>394</v>
      </c>
      <c r="M16" s="599"/>
      <c r="N16" s="598"/>
      <c r="O16" s="614" t="s">
        <v>395</v>
      </c>
      <c r="P16" s="599"/>
      <c r="Q16" s="83"/>
      <c r="R16" s="75"/>
      <c r="S16" s="75"/>
      <c r="T16" s="75"/>
      <c r="U16" s="75"/>
      <c r="V16" s="75"/>
      <c r="W16" s="75"/>
      <c r="X16" s="75"/>
      <c r="Y16" s="75"/>
      <c r="Z16" s="75"/>
    </row>
    <row r="17" spans="2:26" ht="20.25" customHeight="1">
      <c r="B17" s="591"/>
      <c r="C17" s="82"/>
      <c r="D17" s="610" t="s">
        <v>396</v>
      </c>
      <c r="E17" s="599"/>
      <c r="F17" s="599"/>
      <c r="G17" s="598"/>
      <c r="H17" s="614">
        <v>179</v>
      </c>
      <c r="I17" s="599"/>
      <c r="J17" s="83"/>
      <c r="K17" s="84"/>
      <c r="L17" s="610" t="s">
        <v>397</v>
      </c>
      <c r="M17" s="599"/>
      <c r="N17" s="598"/>
      <c r="O17" s="614" t="s">
        <v>398</v>
      </c>
      <c r="P17" s="599"/>
      <c r="Q17" s="83"/>
      <c r="R17" s="75"/>
      <c r="S17" s="75"/>
      <c r="T17" s="75"/>
      <c r="U17" s="75"/>
      <c r="V17" s="75"/>
      <c r="W17" s="75"/>
      <c r="X17" s="75"/>
      <c r="Y17" s="75"/>
      <c r="Z17" s="75"/>
    </row>
    <row r="18" spans="2:26" ht="20.25" customHeight="1">
      <c r="B18" s="591"/>
      <c r="C18" s="82"/>
      <c r="D18" s="610" t="s">
        <v>399</v>
      </c>
      <c r="E18" s="599"/>
      <c r="F18" s="599"/>
      <c r="G18" s="598"/>
      <c r="H18" s="614">
        <v>368</v>
      </c>
      <c r="I18" s="599"/>
      <c r="J18" s="83"/>
      <c r="K18" s="84"/>
      <c r="L18" s="610" t="s">
        <v>400</v>
      </c>
      <c r="M18" s="599"/>
      <c r="N18" s="598"/>
      <c r="O18" s="614" t="s">
        <v>401</v>
      </c>
      <c r="P18" s="599"/>
      <c r="Q18" s="83"/>
      <c r="R18" s="75"/>
      <c r="S18" s="75"/>
      <c r="T18" s="75"/>
      <c r="U18" s="75"/>
      <c r="V18" s="75"/>
      <c r="W18" s="75"/>
      <c r="X18" s="75"/>
      <c r="Y18" s="75"/>
      <c r="Z18" s="75"/>
    </row>
    <row r="19" spans="2:26" ht="20.25" customHeight="1">
      <c r="B19" s="591"/>
      <c r="C19" s="82"/>
      <c r="D19" s="610" t="s">
        <v>402</v>
      </c>
      <c r="E19" s="599"/>
      <c r="F19" s="599"/>
      <c r="G19" s="598"/>
      <c r="H19" s="614">
        <v>548</v>
      </c>
      <c r="I19" s="599"/>
      <c r="J19" s="83"/>
      <c r="K19" s="84"/>
      <c r="L19" s="610" t="s">
        <v>402</v>
      </c>
      <c r="M19" s="599"/>
      <c r="N19" s="598"/>
      <c r="O19" s="614" t="s">
        <v>403</v>
      </c>
      <c r="P19" s="599"/>
      <c r="Q19" s="83"/>
      <c r="R19" s="75"/>
      <c r="S19" s="75"/>
      <c r="T19" s="75"/>
      <c r="U19" s="75"/>
      <c r="V19" s="75"/>
      <c r="W19" s="75"/>
      <c r="X19" s="75"/>
      <c r="Y19" s="75"/>
      <c r="Z19" s="75"/>
    </row>
    <row r="20" spans="2:26" ht="5.25" customHeight="1" thickBot="1">
      <c r="B20" s="592"/>
      <c r="C20" s="85"/>
      <c r="D20" s="86"/>
      <c r="E20" s="86"/>
      <c r="F20" s="86"/>
      <c r="G20" s="86"/>
      <c r="H20" s="86"/>
      <c r="I20" s="86"/>
      <c r="J20" s="87"/>
      <c r="K20" s="88"/>
      <c r="L20" s="86"/>
      <c r="M20" s="86"/>
      <c r="N20" s="86"/>
      <c r="O20" s="86"/>
      <c r="P20" s="86"/>
      <c r="Q20" s="87"/>
      <c r="R20" s="75"/>
      <c r="S20" s="75"/>
      <c r="T20" s="75"/>
      <c r="U20" s="75"/>
      <c r="V20" s="75"/>
      <c r="W20" s="75"/>
      <c r="X20" s="75"/>
      <c r="Y20" s="75"/>
      <c r="Z20" s="75"/>
    </row>
    <row r="21" spans="2:26" ht="5.25" customHeight="1">
      <c r="B21" s="604" t="s">
        <v>404</v>
      </c>
      <c r="C21" s="78"/>
      <c r="D21" s="79"/>
      <c r="E21" s="79"/>
      <c r="F21" s="79"/>
      <c r="G21" s="79"/>
      <c r="H21" s="79"/>
      <c r="I21" s="79"/>
      <c r="J21" s="80"/>
      <c r="K21" s="81"/>
      <c r="L21" s="79"/>
      <c r="M21" s="79"/>
      <c r="N21" s="79"/>
      <c r="O21" s="79"/>
      <c r="P21" s="79"/>
      <c r="Q21" s="80"/>
      <c r="R21" s="75"/>
      <c r="S21" s="75"/>
      <c r="T21" s="75"/>
      <c r="U21" s="75"/>
      <c r="V21" s="75"/>
      <c r="W21" s="75"/>
      <c r="X21" s="75"/>
      <c r="Y21" s="75"/>
      <c r="Z21" s="75"/>
    </row>
    <row r="22" spans="2:26" ht="31.8" thickBot="1">
      <c r="B22" s="591"/>
      <c r="C22" s="82"/>
      <c r="D22" s="89"/>
      <c r="E22" s="90"/>
      <c r="F22" s="91" t="s">
        <v>405</v>
      </c>
      <c r="G22" s="91" t="s">
        <v>406</v>
      </c>
      <c r="H22" s="91" t="s">
        <v>407</v>
      </c>
      <c r="I22" s="92" t="s">
        <v>408</v>
      </c>
      <c r="J22" s="93"/>
      <c r="K22" s="94"/>
      <c r="L22" s="89"/>
      <c r="M22" s="91" t="s">
        <v>406</v>
      </c>
      <c r="N22" s="91" t="s">
        <v>409</v>
      </c>
      <c r="O22" s="627" t="s">
        <v>408</v>
      </c>
      <c r="P22" s="628"/>
      <c r="Q22" s="83"/>
      <c r="R22" s="75"/>
      <c r="S22" s="75"/>
      <c r="T22" s="75"/>
      <c r="U22" s="75"/>
      <c r="V22" s="75"/>
      <c r="W22" s="75"/>
      <c r="X22" s="75"/>
      <c r="Y22" s="75"/>
      <c r="Z22" s="75"/>
    </row>
    <row r="23" spans="2:26" ht="16.2" thickTop="1">
      <c r="B23" s="591"/>
      <c r="C23" s="82"/>
      <c r="D23" s="615" t="s">
        <v>406</v>
      </c>
      <c r="E23" s="629" t="s">
        <v>410</v>
      </c>
      <c r="F23" s="629" t="s">
        <v>411</v>
      </c>
      <c r="G23" s="95" t="s">
        <v>412</v>
      </c>
      <c r="H23" s="95" t="s">
        <v>413</v>
      </c>
      <c r="I23" s="617">
        <v>24</v>
      </c>
      <c r="J23" s="93"/>
      <c r="K23" s="94"/>
      <c r="L23" s="615" t="s">
        <v>414</v>
      </c>
      <c r="M23" s="96" t="s">
        <v>412</v>
      </c>
      <c r="N23" s="96" t="s">
        <v>415</v>
      </c>
      <c r="O23" s="617">
        <v>24</v>
      </c>
      <c r="P23" s="618"/>
      <c r="Q23" s="83"/>
      <c r="R23" s="75"/>
      <c r="S23" s="75"/>
      <c r="T23" s="75"/>
      <c r="U23" s="75"/>
      <c r="V23" s="75"/>
      <c r="W23" s="75"/>
      <c r="X23" s="75"/>
      <c r="Y23" s="75"/>
      <c r="Z23" s="75"/>
    </row>
    <row r="24" spans="2:26" ht="15.6">
      <c r="B24" s="591"/>
      <c r="C24" s="82"/>
      <c r="D24" s="616"/>
      <c r="E24" s="630"/>
      <c r="F24" s="630"/>
      <c r="G24" s="97" t="s">
        <v>416</v>
      </c>
      <c r="H24" s="97" t="s">
        <v>417</v>
      </c>
      <c r="I24" s="612"/>
      <c r="J24" s="93"/>
      <c r="K24" s="94"/>
      <c r="L24" s="616"/>
      <c r="M24" s="98" t="s">
        <v>416</v>
      </c>
      <c r="N24" s="98" t="s">
        <v>418</v>
      </c>
      <c r="O24" s="612"/>
      <c r="P24" s="589"/>
      <c r="Q24" s="83"/>
      <c r="R24" s="75"/>
      <c r="S24" s="75"/>
      <c r="T24" s="75"/>
      <c r="U24" s="75"/>
      <c r="V24" s="75"/>
      <c r="W24" s="75"/>
      <c r="X24" s="75"/>
      <c r="Y24" s="75"/>
      <c r="Z24" s="75"/>
    </row>
    <row r="25" spans="2:26" ht="15.6">
      <c r="B25" s="591"/>
      <c r="C25" s="82"/>
      <c r="D25" s="616"/>
      <c r="E25" s="630"/>
      <c r="F25" s="630"/>
      <c r="G25" s="97" t="s">
        <v>419</v>
      </c>
      <c r="H25" s="97" t="s">
        <v>420</v>
      </c>
      <c r="I25" s="631"/>
      <c r="J25" s="93"/>
      <c r="K25" s="94"/>
      <c r="L25" s="616"/>
      <c r="M25" s="98" t="s">
        <v>419</v>
      </c>
      <c r="N25" s="98" t="s">
        <v>421</v>
      </c>
      <c r="O25" s="613"/>
      <c r="P25" s="619"/>
      <c r="Q25" s="83"/>
      <c r="R25" s="75"/>
      <c r="S25" s="75"/>
      <c r="T25" s="75"/>
      <c r="U25" s="75"/>
      <c r="V25" s="75"/>
      <c r="W25" s="75"/>
      <c r="X25" s="75"/>
      <c r="Y25" s="75"/>
      <c r="Z25" s="75"/>
    </row>
    <row r="26" spans="2:26" ht="15.6">
      <c r="B26" s="591"/>
      <c r="C26" s="82"/>
      <c r="D26" s="616"/>
      <c r="E26" s="630"/>
      <c r="F26" s="587"/>
      <c r="G26" s="99" t="s">
        <v>422</v>
      </c>
      <c r="H26" s="99" t="s">
        <v>423</v>
      </c>
      <c r="I26" s="100">
        <v>6</v>
      </c>
      <c r="J26" s="93"/>
      <c r="K26" s="94"/>
      <c r="L26" s="616"/>
      <c r="M26" s="620" t="s">
        <v>424</v>
      </c>
      <c r="N26" s="101" t="s">
        <v>425</v>
      </c>
      <c r="O26" s="621">
        <v>6</v>
      </c>
      <c r="P26" s="622"/>
      <c r="Q26" s="83"/>
      <c r="R26" s="75"/>
      <c r="S26" s="75"/>
      <c r="T26" s="75"/>
      <c r="U26" s="75"/>
      <c r="V26" s="75"/>
      <c r="W26" s="75"/>
      <c r="X26" s="75"/>
      <c r="Y26" s="75"/>
      <c r="Z26" s="75"/>
    </row>
    <row r="27" spans="2:26" ht="46.8">
      <c r="B27" s="591"/>
      <c r="C27" s="82"/>
      <c r="D27" s="616"/>
      <c r="E27" s="630"/>
      <c r="F27" s="620" t="s">
        <v>426</v>
      </c>
      <c r="G27" s="101" t="s">
        <v>424</v>
      </c>
      <c r="H27" s="101" t="s">
        <v>427</v>
      </c>
      <c r="I27" s="623">
        <v>12</v>
      </c>
      <c r="J27" s="93"/>
      <c r="K27" s="94"/>
      <c r="L27" s="616"/>
      <c r="M27" s="587"/>
      <c r="N27" s="99" t="s">
        <v>428</v>
      </c>
      <c r="O27" s="624">
        <v>12</v>
      </c>
      <c r="P27" s="625"/>
      <c r="Q27" s="83"/>
      <c r="R27" s="75"/>
      <c r="S27" s="75"/>
      <c r="T27" s="75"/>
      <c r="U27" s="75"/>
      <c r="V27" s="75"/>
      <c r="W27" s="75"/>
      <c r="X27" s="75"/>
      <c r="Y27" s="75"/>
      <c r="Z27" s="75"/>
    </row>
    <row r="28" spans="2:26" ht="31.2">
      <c r="B28" s="591"/>
      <c r="C28" s="82"/>
      <c r="D28" s="616"/>
      <c r="E28" s="630"/>
      <c r="F28" s="587"/>
      <c r="G28" s="99" t="s">
        <v>429</v>
      </c>
      <c r="H28" s="99" t="s">
        <v>430</v>
      </c>
      <c r="I28" s="613"/>
      <c r="J28" s="93"/>
      <c r="K28" s="94"/>
      <c r="L28" s="616"/>
      <c r="M28" s="98" t="s">
        <v>429</v>
      </c>
      <c r="N28" s="98" t="s">
        <v>431</v>
      </c>
      <c r="O28" s="613"/>
      <c r="P28" s="619"/>
      <c r="Q28" s="83"/>
      <c r="R28" s="75"/>
      <c r="S28" s="75"/>
      <c r="T28" s="75"/>
      <c r="U28" s="75"/>
      <c r="V28" s="75"/>
      <c r="W28" s="75"/>
      <c r="X28" s="75"/>
      <c r="Y28" s="75"/>
      <c r="Z28" s="75"/>
    </row>
    <row r="29" spans="2:26" ht="15.6">
      <c r="B29" s="591"/>
      <c r="C29" s="82"/>
      <c r="D29" s="616"/>
      <c r="E29" s="630"/>
      <c r="F29" s="620" t="s">
        <v>432</v>
      </c>
      <c r="G29" s="101" t="s">
        <v>433</v>
      </c>
      <c r="H29" s="102"/>
      <c r="I29" s="103">
        <v>8</v>
      </c>
      <c r="J29" s="93"/>
      <c r="K29" s="94"/>
      <c r="L29" s="616"/>
      <c r="M29" s="98" t="s">
        <v>433</v>
      </c>
      <c r="N29" s="104"/>
      <c r="O29" s="626">
        <v>8</v>
      </c>
      <c r="P29" s="599"/>
      <c r="Q29" s="83"/>
      <c r="R29" s="75"/>
      <c r="S29" s="75"/>
      <c r="T29" s="75"/>
      <c r="U29" s="75"/>
      <c r="V29" s="75"/>
      <c r="W29" s="75"/>
      <c r="X29" s="75"/>
      <c r="Y29" s="75"/>
      <c r="Z29" s="75"/>
    </row>
    <row r="30" spans="2:26" ht="15.6">
      <c r="B30" s="591"/>
      <c r="C30" s="82"/>
      <c r="D30" s="616"/>
      <c r="E30" s="630"/>
      <c r="F30" s="587"/>
      <c r="G30" s="99" t="s">
        <v>434</v>
      </c>
      <c r="H30" s="105"/>
      <c r="I30" s="100">
        <v>6</v>
      </c>
      <c r="J30" s="93"/>
      <c r="K30" s="94"/>
      <c r="L30" s="616"/>
      <c r="M30" s="98" t="s">
        <v>434</v>
      </c>
      <c r="N30" s="104"/>
      <c r="O30" s="626">
        <v>6</v>
      </c>
      <c r="P30" s="599"/>
      <c r="Q30" s="83"/>
      <c r="R30" s="75"/>
      <c r="S30" s="75"/>
      <c r="T30" s="75"/>
      <c r="U30" s="75"/>
      <c r="V30" s="75"/>
      <c r="W30" s="75"/>
      <c r="X30" s="75"/>
      <c r="Y30" s="75"/>
      <c r="Z30" s="75"/>
    </row>
    <row r="31" spans="2:26" ht="62.4">
      <c r="B31" s="591"/>
      <c r="C31" s="82"/>
      <c r="D31" s="616"/>
      <c r="E31" s="630"/>
      <c r="F31" s="98" t="s">
        <v>435</v>
      </c>
      <c r="G31" s="98" t="s">
        <v>436</v>
      </c>
      <c r="H31" s="104"/>
      <c r="I31" s="106">
        <v>10</v>
      </c>
      <c r="J31" s="93"/>
      <c r="K31" s="94"/>
      <c r="L31" s="616"/>
      <c r="M31" s="98" t="s">
        <v>437</v>
      </c>
      <c r="N31" s="104"/>
      <c r="O31" s="626">
        <v>8</v>
      </c>
      <c r="P31" s="599"/>
      <c r="Q31" s="83"/>
      <c r="R31" s="75"/>
      <c r="S31" s="75"/>
      <c r="T31" s="75"/>
      <c r="U31" s="75"/>
      <c r="V31" s="75"/>
      <c r="W31" s="75"/>
      <c r="X31" s="75"/>
      <c r="Y31" s="75"/>
      <c r="Z31" s="75"/>
    </row>
    <row r="32" spans="2:26" ht="18.75" customHeight="1">
      <c r="B32" s="591"/>
      <c r="C32" s="82"/>
      <c r="D32" s="616"/>
      <c r="E32" s="587"/>
      <c r="F32" s="634" t="s">
        <v>402</v>
      </c>
      <c r="G32" s="599"/>
      <c r="H32" s="598"/>
      <c r="I32" s="107">
        <v>66</v>
      </c>
      <c r="J32" s="93"/>
      <c r="K32" s="94"/>
      <c r="L32" s="596"/>
      <c r="M32" s="634" t="s">
        <v>402</v>
      </c>
      <c r="N32" s="598"/>
      <c r="O32" s="607">
        <v>64</v>
      </c>
      <c r="P32" s="599"/>
      <c r="Q32" s="83"/>
      <c r="R32" s="75"/>
      <c r="S32" s="75"/>
      <c r="T32" s="75"/>
      <c r="U32" s="75"/>
      <c r="V32" s="75"/>
      <c r="W32" s="75"/>
      <c r="X32" s="75"/>
      <c r="Y32" s="75"/>
      <c r="Z32" s="75"/>
    </row>
    <row r="33" spans="2:26" ht="35.25" customHeight="1">
      <c r="B33" s="591"/>
      <c r="C33" s="82"/>
      <c r="D33" s="596"/>
      <c r="E33" s="108" t="s">
        <v>438</v>
      </c>
      <c r="F33" s="634" t="s">
        <v>439</v>
      </c>
      <c r="G33" s="599"/>
      <c r="H33" s="598"/>
      <c r="I33" s="107">
        <v>86</v>
      </c>
      <c r="J33" s="93"/>
      <c r="K33" s="94"/>
      <c r="L33" s="109" t="s">
        <v>440</v>
      </c>
      <c r="M33" s="634" t="s">
        <v>441</v>
      </c>
      <c r="N33" s="598"/>
      <c r="O33" s="607">
        <v>80</v>
      </c>
      <c r="P33" s="599"/>
      <c r="Q33" s="83"/>
      <c r="R33" s="75"/>
      <c r="S33" s="75"/>
      <c r="T33" s="75"/>
      <c r="U33" s="75"/>
      <c r="V33" s="75"/>
      <c r="W33" s="75"/>
      <c r="X33" s="75"/>
      <c r="Y33" s="75"/>
      <c r="Z33" s="75"/>
    </row>
    <row r="34" spans="2:26" ht="21.75" customHeight="1">
      <c r="B34" s="591"/>
      <c r="C34" s="82"/>
      <c r="D34" s="632" t="s">
        <v>380</v>
      </c>
      <c r="E34" s="599"/>
      <c r="F34" s="599"/>
      <c r="G34" s="599"/>
      <c r="H34" s="598"/>
      <c r="I34" s="110">
        <v>22</v>
      </c>
      <c r="J34" s="93"/>
      <c r="K34" s="94"/>
      <c r="L34" s="632" t="s">
        <v>380</v>
      </c>
      <c r="M34" s="599"/>
      <c r="N34" s="598"/>
      <c r="O34" s="633">
        <v>30</v>
      </c>
      <c r="P34" s="599"/>
      <c r="Q34" s="83"/>
      <c r="R34" s="75"/>
      <c r="S34" s="75"/>
      <c r="T34" s="75"/>
      <c r="U34" s="75"/>
      <c r="V34" s="75"/>
      <c r="W34" s="75"/>
      <c r="X34" s="75"/>
      <c r="Y34" s="75"/>
      <c r="Z34" s="75"/>
    </row>
    <row r="35" spans="2:26" ht="24" customHeight="1">
      <c r="B35" s="591"/>
      <c r="C35" s="82"/>
      <c r="D35" s="632" t="s">
        <v>383</v>
      </c>
      <c r="E35" s="599"/>
      <c r="F35" s="599"/>
      <c r="G35" s="599"/>
      <c r="H35" s="598"/>
      <c r="I35" s="110">
        <v>18</v>
      </c>
      <c r="J35" s="93"/>
      <c r="K35" s="94"/>
      <c r="L35" s="632" t="s">
        <v>383</v>
      </c>
      <c r="M35" s="599"/>
      <c r="N35" s="598"/>
      <c r="O35" s="633">
        <v>18</v>
      </c>
      <c r="P35" s="599"/>
      <c r="Q35" s="83"/>
      <c r="R35" s="75"/>
      <c r="S35" s="75"/>
      <c r="T35" s="75"/>
      <c r="U35" s="75"/>
      <c r="V35" s="75"/>
      <c r="W35" s="75"/>
      <c r="X35" s="75"/>
      <c r="Y35" s="75"/>
      <c r="Z35" s="75"/>
    </row>
    <row r="36" spans="2:26" ht="15.6">
      <c r="B36" s="591"/>
      <c r="C36" s="82"/>
      <c r="D36" s="606" t="s">
        <v>442</v>
      </c>
      <c r="E36" s="599"/>
      <c r="F36" s="599"/>
      <c r="G36" s="599"/>
      <c r="H36" s="598"/>
      <c r="I36" s="107">
        <v>192</v>
      </c>
      <c r="J36" s="93"/>
      <c r="K36" s="94"/>
      <c r="L36" s="606" t="s">
        <v>442</v>
      </c>
      <c r="M36" s="599"/>
      <c r="N36" s="598"/>
      <c r="O36" s="607">
        <v>192</v>
      </c>
      <c r="P36" s="599"/>
      <c r="Q36" s="83"/>
      <c r="R36" s="75"/>
      <c r="S36" s="75"/>
      <c r="T36" s="75"/>
      <c r="U36" s="75"/>
      <c r="V36" s="75"/>
      <c r="W36" s="75"/>
      <c r="X36" s="75"/>
      <c r="Y36" s="75"/>
      <c r="Z36" s="75"/>
    </row>
    <row r="37" spans="2:26" ht="5.25" customHeight="1" thickBot="1">
      <c r="B37" s="592"/>
      <c r="C37" s="85"/>
      <c r="D37" s="86"/>
      <c r="E37" s="86"/>
      <c r="F37" s="86"/>
      <c r="G37" s="86"/>
      <c r="H37" s="86"/>
      <c r="I37" s="86"/>
      <c r="J37" s="87"/>
      <c r="K37" s="88"/>
      <c r="L37" s="86"/>
      <c r="M37" s="86"/>
      <c r="N37" s="86"/>
      <c r="O37" s="86"/>
      <c r="P37" s="86"/>
      <c r="Q37" s="87"/>
      <c r="R37" s="75"/>
      <c r="S37" s="75"/>
      <c r="T37" s="75"/>
      <c r="U37" s="75"/>
      <c r="V37" s="75"/>
      <c r="W37" s="75"/>
      <c r="X37" s="75"/>
      <c r="Y37" s="75"/>
      <c r="Z37" s="75"/>
    </row>
    <row r="38" spans="2:26" ht="5.25" customHeight="1">
      <c r="B38" s="604" t="s">
        <v>443</v>
      </c>
      <c r="C38" s="78"/>
      <c r="D38" s="79"/>
      <c r="E38" s="79"/>
      <c r="F38" s="79"/>
      <c r="G38" s="79"/>
      <c r="H38" s="79"/>
      <c r="I38" s="79"/>
      <c r="J38" s="80"/>
      <c r="K38" s="81"/>
      <c r="L38" s="79"/>
      <c r="M38" s="79"/>
      <c r="N38" s="79"/>
      <c r="O38" s="79"/>
      <c r="P38" s="79"/>
      <c r="Q38" s="80"/>
      <c r="R38" s="75"/>
      <c r="S38" s="75"/>
      <c r="T38" s="75"/>
      <c r="U38" s="75"/>
      <c r="V38" s="75"/>
      <c r="W38" s="75"/>
      <c r="X38" s="75"/>
      <c r="Y38" s="75"/>
      <c r="Z38" s="75"/>
    </row>
    <row r="39" spans="2:26" ht="15.6">
      <c r="B39" s="591"/>
      <c r="C39" s="82" t="s">
        <v>444</v>
      </c>
      <c r="D39" s="75"/>
      <c r="E39" s="75"/>
      <c r="F39" s="75"/>
      <c r="G39" s="75"/>
      <c r="H39" s="75"/>
      <c r="I39" s="75"/>
      <c r="J39" s="83"/>
      <c r="K39" s="84"/>
      <c r="L39" s="75" t="s">
        <v>445</v>
      </c>
      <c r="M39" s="75"/>
      <c r="N39" s="75"/>
      <c r="O39" s="75"/>
      <c r="P39" s="75"/>
      <c r="Q39" s="83"/>
      <c r="R39" s="75"/>
      <c r="S39" s="75"/>
      <c r="T39" s="75"/>
      <c r="U39" s="75"/>
      <c r="V39" s="75"/>
      <c r="W39" s="75"/>
      <c r="X39" s="75"/>
      <c r="Y39" s="75"/>
      <c r="Z39" s="75"/>
    </row>
    <row r="40" spans="2:26" ht="15.6">
      <c r="B40" s="591"/>
      <c r="C40" s="82" t="s">
        <v>446</v>
      </c>
      <c r="D40" s="75"/>
      <c r="E40" s="75"/>
      <c r="F40" s="75"/>
      <c r="G40" s="75"/>
      <c r="H40" s="75"/>
      <c r="I40" s="75"/>
      <c r="J40" s="83"/>
      <c r="K40" s="84"/>
      <c r="L40" s="75" t="s">
        <v>447</v>
      </c>
      <c r="M40" s="75"/>
      <c r="N40" s="75"/>
      <c r="O40" s="75"/>
      <c r="P40" s="75"/>
      <c r="Q40" s="83"/>
      <c r="R40" s="75"/>
      <c r="S40" s="75"/>
      <c r="T40" s="75"/>
      <c r="U40" s="75"/>
      <c r="V40" s="75"/>
      <c r="W40" s="75"/>
      <c r="X40" s="75"/>
      <c r="Y40" s="75"/>
      <c r="Z40" s="75"/>
    </row>
    <row r="41" spans="2:26" ht="5.25" customHeight="1" thickBot="1">
      <c r="B41" s="592"/>
      <c r="C41" s="85"/>
      <c r="D41" s="86"/>
      <c r="E41" s="86"/>
      <c r="F41" s="86"/>
      <c r="G41" s="86"/>
      <c r="H41" s="86"/>
      <c r="I41" s="86"/>
      <c r="J41" s="87"/>
      <c r="K41" s="88"/>
      <c r="L41" s="86"/>
      <c r="M41" s="86"/>
      <c r="N41" s="86"/>
      <c r="O41" s="86"/>
      <c r="P41" s="86"/>
      <c r="Q41" s="87"/>
      <c r="R41" s="75"/>
      <c r="S41" s="75"/>
      <c r="T41" s="75"/>
      <c r="U41" s="75"/>
      <c r="V41" s="75"/>
      <c r="W41" s="75"/>
      <c r="X41" s="75"/>
      <c r="Y41" s="75"/>
      <c r="Z41" s="75"/>
    </row>
    <row r="42" spans="2:26" ht="5.25" customHeight="1">
      <c r="B42" s="604" t="s">
        <v>448</v>
      </c>
      <c r="C42" s="78"/>
      <c r="D42" s="79"/>
      <c r="E42" s="79"/>
      <c r="F42" s="79"/>
      <c r="G42" s="79"/>
      <c r="H42" s="79"/>
      <c r="I42" s="79"/>
      <c r="J42" s="80"/>
      <c r="K42" s="81"/>
      <c r="L42" s="79"/>
      <c r="M42" s="79"/>
      <c r="N42" s="79"/>
      <c r="O42" s="79"/>
      <c r="P42" s="79"/>
      <c r="Q42" s="80"/>
      <c r="R42" s="75"/>
      <c r="S42" s="75"/>
      <c r="T42" s="75"/>
      <c r="U42" s="75"/>
      <c r="V42" s="75"/>
      <c r="W42" s="75"/>
      <c r="X42" s="75"/>
      <c r="Y42" s="75"/>
      <c r="Z42" s="75"/>
    </row>
    <row r="43" spans="2:26" ht="15.6">
      <c r="B43" s="591"/>
      <c r="C43" s="82"/>
      <c r="D43" s="75" t="s">
        <v>449</v>
      </c>
      <c r="E43" s="75"/>
      <c r="F43" s="75"/>
      <c r="G43" s="75"/>
      <c r="H43" s="75"/>
      <c r="I43" s="75"/>
      <c r="J43" s="83"/>
      <c r="K43" s="84"/>
      <c r="L43" s="75" t="s">
        <v>450</v>
      </c>
      <c r="M43" s="75"/>
      <c r="N43" s="75"/>
      <c r="O43" s="75"/>
      <c r="P43" s="75"/>
      <c r="Q43" s="83"/>
      <c r="R43" s="75"/>
      <c r="S43" s="75"/>
      <c r="T43" s="75"/>
      <c r="U43" s="75"/>
      <c r="V43" s="75"/>
      <c r="W43" s="75"/>
      <c r="X43" s="75"/>
      <c r="Y43" s="75"/>
      <c r="Z43" s="75"/>
    </row>
    <row r="44" spans="2:26" ht="15.6">
      <c r="B44" s="591"/>
      <c r="C44" s="82"/>
      <c r="D44" s="75" t="s">
        <v>451</v>
      </c>
      <c r="E44" s="111"/>
      <c r="F44" s="111"/>
      <c r="G44" s="111"/>
      <c r="H44" s="111"/>
      <c r="I44" s="111"/>
      <c r="J44" s="83"/>
      <c r="K44" s="84"/>
      <c r="L44" s="75"/>
      <c r="M44" s="75"/>
      <c r="N44" s="75"/>
      <c r="O44" s="75"/>
      <c r="P44" s="75"/>
      <c r="Q44" s="83"/>
      <c r="R44" s="75"/>
      <c r="S44" s="75"/>
      <c r="T44" s="75"/>
      <c r="U44" s="75"/>
      <c r="V44" s="75"/>
      <c r="W44" s="75"/>
      <c r="X44" s="75"/>
      <c r="Y44" s="75"/>
      <c r="Z44" s="75"/>
    </row>
    <row r="45" spans="2:26" ht="15.6">
      <c r="B45" s="591"/>
      <c r="C45" s="82"/>
      <c r="D45" s="608" t="s">
        <v>369</v>
      </c>
      <c r="E45" s="599"/>
      <c r="F45" s="598"/>
      <c r="G45" s="609" t="s">
        <v>452</v>
      </c>
      <c r="H45" s="598"/>
      <c r="I45" s="112" t="s">
        <v>453</v>
      </c>
      <c r="J45" s="83"/>
      <c r="K45" s="84"/>
      <c r="L45" s="608" t="s">
        <v>369</v>
      </c>
      <c r="M45" s="598"/>
      <c r="N45" s="609" t="s">
        <v>452</v>
      </c>
      <c r="O45" s="598"/>
      <c r="P45" s="112" t="s">
        <v>454</v>
      </c>
      <c r="Q45" s="83"/>
      <c r="R45" s="75"/>
      <c r="S45" s="75"/>
      <c r="T45" s="75"/>
      <c r="U45" s="75"/>
      <c r="V45" s="75"/>
      <c r="W45" s="75"/>
      <c r="X45" s="75"/>
      <c r="Y45" s="75"/>
      <c r="Z45" s="75"/>
    </row>
    <row r="46" spans="2:26" ht="38.25" customHeight="1">
      <c r="B46" s="591"/>
      <c r="C46" s="82"/>
      <c r="D46" s="610" t="s">
        <v>455</v>
      </c>
      <c r="E46" s="598"/>
      <c r="F46" s="113">
        <v>1</v>
      </c>
      <c r="G46" s="603" t="s">
        <v>456</v>
      </c>
      <c r="H46" s="598"/>
      <c r="I46" s="611">
        <v>86</v>
      </c>
      <c r="J46" s="83"/>
      <c r="K46" s="84"/>
      <c r="L46" s="114" t="s">
        <v>455</v>
      </c>
      <c r="M46" s="113">
        <v>3</v>
      </c>
      <c r="N46" s="603" t="s">
        <v>457</v>
      </c>
      <c r="O46" s="598"/>
      <c r="P46" s="611">
        <v>80</v>
      </c>
      <c r="Q46" s="83"/>
      <c r="R46" s="75"/>
      <c r="S46" s="75"/>
      <c r="T46" s="75"/>
      <c r="U46" s="75"/>
      <c r="V46" s="75"/>
      <c r="W46" s="75"/>
      <c r="X46" s="75"/>
      <c r="Y46" s="75"/>
      <c r="Z46" s="75"/>
    </row>
    <row r="47" spans="2:26" ht="16.5" customHeight="1">
      <c r="B47" s="591"/>
      <c r="C47" s="82"/>
      <c r="D47" s="610" t="s">
        <v>458</v>
      </c>
      <c r="E47" s="598"/>
      <c r="F47" s="113">
        <v>179</v>
      </c>
      <c r="G47" s="614" t="s">
        <v>441</v>
      </c>
      <c r="H47" s="598"/>
      <c r="I47" s="612"/>
      <c r="J47" s="83"/>
      <c r="K47" s="84"/>
      <c r="L47" s="114" t="s">
        <v>459</v>
      </c>
      <c r="M47" s="113">
        <v>216</v>
      </c>
      <c r="N47" s="614" t="s">
        <v>441</v>
      </c>
      <c r="O47" s="598"/>
      <c r="P47" s="612"/>
      <c r="Q47" s="83"/>
      <c r="R47" s="75"/>
      <c r="S47" s="75"/>
      <c r="T47" s="75"/>
      <c r="U47" s="75"/>
      <c r="V47" s="75"/>
      <c r="W47" s="75"/>
      <c r="X47" s="75"/>
      <c r="Y47" s="75"/>
      <c r="Z47" s="75"/>
    </row>
    <row r="48" spans="2:26" ht="16.5" customHeight="1">
      <c r="B48" s="591"/>
      <c r="C48" s="82"/>
      <c r="D48" s="610" t="s">
        <v>460</v>
      </c>
      <c r="E48" s="598"/>
      <c r="F48" s="113">
        <v>368</v>
      </c>
      <c r="G48" s="614" t="s">
        <v>441</v>
      </c>
      <c r="H48" s="598"/>
      <c r="I48" s="613"/>
      <c r="J48" s="83"/>
      <c r="K48" s="84"/>
      <c r="L48" s="114" t="s">
        <v>461</v>
      </c>
      <c r="M48" s="113">
        <v>309</v>
      </c>
      <c r="N48" s="614" t="s">
        <v>441</v>
      </c>
      <c r="O48" s="598"/>
      <c r="P48" s="613"/>
      <c r="Q48" s="83"/>
      <c r="R48" s="75"/>
      <c r="S48" s="75"/>
      <c r="T48" s="75"/>
      <c r="U48" s="75"/>
      <c r="V48" s="75"/>
      <c r="W48" s="75"/>
      <c r="X48" s="75"/>
      <c r="Y48" s="75"/>
      <c r="Z48" s="75"/>
    </row>
    <row r="49" spans="2:26" ht="5.25" customHeight="1" thickBot="1">
      <c r="B49" s="592"/>
      <c r="C49" s="85"/>
      <c r="D49" s="86"/>
      <c r="E49" s="86"/>
      <c r="F49" s="86"/>
      <c r="G49" s="86"/>
      <c r="H49" s="86"/>
      <c r="I49" s="86"/>
      <c r="J49" s="87"/>
      <c r="K49" s="88"/>
      <c r="L49" s="86"/>
      <c r="M49" s="86"/>
      <c r="N49" s="86"/>
      <c r="O49" s="86"/>
      <c r="P49" s="86"/>
      <c r="Q49" s="87"/>
      <c r="R49" s="75"/>
      <c r="S49" s="75"/>
      <c r="T49" s="75"/>
      <c r="U49" s="75"/>
      <c r="V49" s="75"/>
      <c r="W49" s="75"/>
      <c r="X49" s="75"/>
      <c r="Y49" s="75"/>
      <c r="Z49" s="75"/>
    </row>
    <row r="50" spans="2:26" ht="5.25" customHeight="1">
      <c r="B50" s="604" t="s">
        <v>462</v>
      </c>
      <c r="C50" s="78"/>
      <c r="D50" s="79"/>
      <c r="E50" s="79"/>
      <c r="F50" s="79"/>
      <c r="G50" s="79"/>
      <c r="H50" s="79"/>
      <c r="I50" s="79"/>
      <c r="J50" s="80"/>
      <c r="K50" s="81"/>
      <c r="L50" s="79"/>
      <c r="M50" s="79"/>
      <c r="N50" s="79"/>
      <c r="O50" s="79"/>
      <c r="P50" s="79"/>
      <c r="Q50" s="80"/>
      <c r="R50" s="75"/>
      <c r="S50" s="75"/>
      <c r="T50" s="75"/>
      <c r="U50" s="75"/>
      <c r="V50" s="75"/>
      <c r="W50" s="75"/>
      <c r="X50" s="75"/>
      <c r="Y50" s="75"/>
      <c r="Z50" s="75"/>
    </row>
    <row r="51" spans="2:26" ht="26.4">
      <c r="B51" s="591"/>
      <c r="C51" s="82"/>
      <c r="D51" s="605" t="s">
        <v>369</v>
      </c>
      <c r="E51" s="599"/>
      <c r="F51" s="598"/>
      <c r="G51" s="115" t="s">
        <v>463</v>
      </c>
      <c r="H51" s="115" t="s">
        <v>464</v>
      </c>
      <c r="I51" s="116" t="s">
        <v>465</v>
      </c>
      <c r="J51" s="93"/>
      <c r="K51" s="94"/>
      <c r="L51" s="605" t="s">
        <v>369</v>
      </c>
      <c r="M51" s="598"/>
      <c r="N51" s="115" t="s">
        <v>463</v>
      </c>
      <c r="O51" s="115" t="s">
        <v>464</v>
      </c>
      <c r="P51" s="116" t="s">
        <v>466</v>
      </c>
      <c r="Q51" s="83"/>
      <c r="R51" s="75"/>
      <c r="S51" s="75"/>
      <c r="T51" s="75"/>
      <c r="U51" s="75"/>
      <c r="V51" s="75"/>
      <c r="W51" s="75"/>
      <c r="X51" s="75"/>
      <c r="Y51" s="75"/>
      <c r="Z51" s="75"/>
    </row>
    <row r="52" spans="2:26" ht="15.6">
      <c r="B52" s="591"/>
      <c r="C52" s="82"/>
      <c r="D52" s="602" t="s">
        <v>467</v>
      </c>
      <c r="E52" s="599"/>
      <c r="F52" s="598"/>
      <c r="G52" s="117">
        <v>8</v>
      </c>
      <c r="H52" s="117">
        <v>-2</v>
      </c>
      <c r="I52" s="118" t="s">
        <v>468</v>
      </c>
      <c r="J52" s="93"/>
      <c r="K52" s="94"/>
      <c r="L52" s="602" t="s">
        <v>467</v>
      </c>
      <c r="M52" s="598"/>
      <c r="N52" s="117">
        <v>4</v>
      </c>
      <c r="O52" s="117">
        <v>-1</v>
      </c>
      <c r="P52" s="118" t="s">
        <v>363</v>
      </c>
      <c r="Q52" s="83"/>
      <c r="R52" s="75"/>
      <c r="S52" s="75"/>
      <c r="T52" s="75"/>
      <c r="U52" s="75"/>
      <c r="V52" s="75"/>
      <c r="W52" s="75"/>
      <c r="X52" s="75"/>
      <c r="Y52" s="75"/>
      <c r="Z52" s="75"/>
    </row>
    <row r="53" spans="2:26" ht="27.75" customHeight="1">
      <c r="B53" s="591"/>
      <c r="C53" s="82"/>
      <c r="D53" s="602" t="s">
        <v>469</v>
      </c>
      <c r="E53" s="599"/>
      <c r="F53" s="598"/>
      <c r="G53" s="117">
        <v>6</v>
      </c>
      <c r="H53" s="119"/>
      <c r="I53" s="118" t="s">
        <v>470</v>
      </c>
      <c r="J53" s="93"/>
      <c r="K53" s="94"/>
      <c r="L53" s="602" t="s">
        <v>471</v>
      </c>
      <c r="M53" s="598"/>
      <c r="N53" s="117">
        <v>3</v>
      </c>
      <c r="O53" s="119"/>
      <c r="P53" s="118">
        <v>3</v>
      </c>
      <c r="Q53" s="83"/>
      <c r="R53" s="75"/>
      <c r="S53" s="75"/>
      <c r="T53" s="75"/>
      <c r="U53" s="75"/>
      <c r="V53" s="75"/>
      <c r="W53" s="75"/>
      <c r="X53" s="75"/>
      <c r="Y53" s="75"/>
      <c r="Z53" s="75"/>
    </row>
    <row r="54" spans="2:26" ht="15.6">
      <c r="B54" s="591"/>
      <c r="C54" s="82"/>
      <c r="D54" s="602" t="s">
        <v>472</v>
      </c>
      <c r="E54" s="599"/>
      <c r="F54" s="598"/>
      <c r="G54" s="117">
        <v>5</v>
      </c>
      <c r="H54" s="117" t="s">
        <v>473</v>
      </c>
      <c r="I54" s="118" t="s">
        <v>474</v>
      </c>
      <c r="J54" s="93"/>
      <c r="K54" s="94"/>
      <c r="L54" s="602" t="s">
        <v>475</v>
      </c>
      <c r="M54" s="598"/>
      <c r="N54" s="117">
        <v>4</v>
      </c>
      <c r="O54" s="117" t="s">
        <v>476</v>
      </c>
      <c r="P54" s="118" t="s">
        <v>365</v>
      </c>
      <c r="Q54" s="83"/>
      <c r="R54" s="75"/>
      <c r="S54" s="75"/>
      <c r="T54" s="75"/>
      <c r="U54" s="75"/>
      <c r="V54" s="75"/>
      <c r="W54" s="75"/>
      <c r="X54" s="75"/>
      <c r="Y54" s="75"/>
      <c r="Z54" s="75"/>
    </row>
    <row r="55" spans="2:26" ht="15.6">
      <c r="B55" s="591"/>
      <c r="C55" s="82"/>
      <c r="D55" s="602" t="s">
        <v>477</v>
      </c>
      <c r="E55" s="599"/>
      <c r="F55" s="598"/>
      <c r="G55" s="117">
        <v>5</v>
      </c>
      <c r="H55" s="117" t="s">
        <v>478</v>
      </c>
      <c r="I55" s="118" t="s">
        <v>479</v>
      </c>
      <c r="J55" s="93"/>
      <c r="K55" s="94"/>
      <c r="L55" s="602" t="s">
        <v>480</v>
      </c>
      <c r="M55" s="598"/>
      <c r="N55" s="117">
        <v>3</v>
      </c>
      <c r="O55" s="117" t="s">
        <v>476</v>
      </c>
      <c r="P55" s="118" t="s">
        <v>366</v>
      </c>
      <c r="Q55" s="83"/>
      <c r="R55" s="75"/>
      <c r="S55" s="75"/>
      <c r="T55" s="75"/>
      <c r="U55" s="75"/>
      <c r="V55" s="75"/>
      <c r="W55" s="75"/>
      <c r="X55" s="75"/>
      <c r="Y55" s="75"/>
      <c r="Z55" s="75"/>
    </row>
    <row r="56" spans="2:26" ht="15.6">
      <c r="B56" s="591"/>
      <c r="C56" s="82"/>
      <c r="D56" s="602" t="s">
        <v>481</v>
      </c>
      <c r="E56" s="599"/>
      <c r="F56" s="598"/>
      <c r="G56" s="117">
        <v>5</v>
      </c>
      <c r="H56" s="117" t="s">
        <v>478</v>
      </c>
      <c r="I56" s="118" t="s">
        <v>479</v>
      </c>
      <c r="J56" s="93"/>
      <c r="K56" s="94"/>
      <c r="L56" s="602" t="s">
        <v>392</v>
      </c>
      <c r="M56" s="598"/>
      <c r="N56" s="603" t="s">
        <v>482</v>
      </c>
      <c r="O56" s="599"/>
      <c r="P56" s="599"/>
      <c r="Q56" s="83"/>
      <c r="R56" s="75"/>
      <c r="S56" s="75"/>
      <c r="T56" s="75"/>
      <c r="U56" s="75"/>
      <c r="V56" s="75"/>
      <c r="W56" s="75"/>
      <c r="X56" s="75"/>
      <c r="Y56" s="75"/>
      <c r="Z56" s="75"/>
    </row>
    <row r="57" spans="2:26" ht="15.6">
      <c r="B57" s="591"/>
      <c r="C57" s="82"/>
      <c r="D57" s="602" t="s">
        <v>390</v>
      </c>
      <c r="E57" s="599"/>
      <c r="F57" s="598"/>
      <c r="G57" s="603" t="s">
        <v>482</v>
      </c>
      <c r="H57" s="599"/>
      <c r="I57" s="599"/>
      <c r="J57" s="93"/>
      <c r="K57" s="94"/>
      <c r="L57" s="120"/>
      <c r="M57" s="75"/>
      <c r="N57" s="75"/>
      <c r="O57" s="75"/>
      <c r="P57" s="75"/>
      <c r="Q57" s="83"/>
      <c r="R57" s="75"/>
      <c r="S57" s="75"/>
      <c r="T57" s="75"/>
      <c r="U57" s="75"/>
      <c r="V57" s="75"/>
      <c r="W57" s="75"/>
      <c r="X57" s="75"/>
      <c r="Y57" s="75"/>
      <c r="Z57" s="75"/>
    </row>
    <row r="58" spans="2:26" ht="15.6">
      <c r="B58" s="591"/>
      <c r="C58" s="82"/>
      <c r="D58" s="75"/>
      <c r="E58" s="75"/>
      <c r="F58" s="75"/>
      <c r="G58" s="75"/>
      <c r="H58" s="75"/>
      <c r="I58" s="75"/>
      <c r="J58" s="83"/>
      <c r="K58" s="84"/>
      <c r="L58" s="75"/>
      <c r="M58" s="75"/>
      <c r="N58" s="75"/>
      <c r="O58" s="75"/>
      <c r="P58" s="75"/>
      <c r="Q58" s="83"/>
      <c r="R58" s="75"/>
      <c r="S58" s="75"/>
      <c r="T58" s="75"/>
      <c r="U58" s="75"/>
      <c r="V58" s="75"/>
      <c r="W58" s="75"/>
      <c r="X58" s="75"/>
      <c r="Y58" s="75"/>
      <c r="Z58" s="75"/>
    </row>
    <row r="59" spans="2:26" ht="33.75" customHeight="1">
      <c r="B59" s="591"/>
      <c r="C59" s="82"/>
      <c r="D59" s="588" t="s">
        <v>483</v>
      </c>
      <c r="E59" s="589"/>
      <c r="F59" s="589"/>
      <c r="G59" s="589"/>
      <c r="H59" s="589"/>
      <c r="I59" s="589"/>
      <c r="J59" s="83"/>
      <c r="K59" s="84"/>
      <c r="L59" s="588" t="s">
        <v>484</v>
      </c>
      <c r="M59" s="588"/>
      <c r="N59" s="588"/>
      <c r="O59" s="588"/>
      <c r="P59" s="588"/>
      <c r="Q59" s="83"/>
      <c r="R59" s="75"/>
      <c r="S59" s="75"/>
      <c r="T59" s="75"/>
      <c r="U59" s="75"/>
      <c r="V59" s="75"/>
      <c r="W59" s="75"/>
      <c r="X59" s="75"/>
      <c r="Y59" s="75"/>
      <c r="Z59" s="75"/>
    </row>
    <row r="60" spans="2:26" ht="5.25" customHeight="1" thickBot="1">
      <c r="B60" s="592"/>
      <c r="C60" s="85"/>
      <c r="D60" s="86"/>
      <c r="E60" s="86"/>
      <c r="F60" s="86"/>
      <c r="G60" s="86"/>
      <c r="H60" s="86"/>
      <c r="I60" s="86"/>
      <c r="J60" s="87"/>
      <c r="K60" s="88"/>
      <c r="L60" s="86"/>
      <c r="M60" s="86"/>
      <c r="N60" s="86"/>
      <c r="O60" s="86"/>
      <c r="P60" s="86"/>
      <c r="Q60" s="87"/>
      <c r="R60" s="75"/>
      <c r="S60" s="75"/>
      <c r="T60" s="75"/>
      <c r="U60" s="75"/>
      <c r="V60" s="75"/>
      <c r="W60" s="75"/>
      <c r="X60" s="75"/>
      <c r="Y60" s="75"/>
      <c r="Z60" s="75"/>
    </row>
    <row r="61" spans="2:26" ht="5.25" customHeight="1">
      <c r="B61" s="593" t="s">
        <v>485</v>
      </c>
      <c r="C61" s="82"/>
      <c r="D61" s="75"/>
      <c r="E61" s="75"/>
      <c r="F61" s="75"/>
      <c r="G61" s="75"/>
      <c r="H61" s="75"/>
      <c r="I61" s="75"/>
      <c r="J61" s="75"/>
      <c r="K61" s="81"/>
      <c r="L61" s="79"/>
      <c r="M61" s="79"/>
      <c r="N61" s="79"/>
      <c r="O61" s="79"/>
      <c r="P61" s="79"/>
      <c r="Q61" s="80"/>
      <c r="R61" s="75"/>
      <c r="S61" s="75"/>
      <c r="T61" s="75"/>
      <c r="U61" s="75"/>
      <c r="V61" s="75"/>
      <c r="W61" s="75"/>
      <c r="X61" s="75"/>
      <c r="Y61" s="75"/>
      <c r="Z61" s="75"/>
    </row>
    <row r="62" spans="2:26" ht="15.6">
      <c r="B62" s="594"/>
      <c r="C62" s="82"/>
      <c r="D62" s="75"/>
      <c r="E62" s="75"/>
      <c r="F62" s="75"/>
      <c r="G62" s="75"/>
      <c r="H62" s="75"/>
      <c r="I62" s="75"/>
      <c r="J62" s="75"/>
      <c r="K62" s="84"/>
      <c r="L62" s="75" t="s">
        <v>486</v>
      </c>
      <c r="M62" s="75"/>
      <c r="N62" s="75"/>
      <c r="O62" s="75"/>
      <c r="P62" s="75"/>
      <c r="Q62" s="83"/>
      <c r="R62" s="75"/>
      <c r="S62" s="75"/>
      <c r="T62" s="75"/>
      <c r="U62" s="75"/>
      <c r="V62" s="75"/>
      <c r="W62" s="75"/>
      <c r="X62" s="75"/>
      <c r="Y62" s="75"/>
      <c r="Z62" s="75"/>
    </row>
    <row r="63" spans="2:26" ht="15.6">
      <c r="B63" s="594"/>
      <c r="C63" s="82"/>
      <c r="D63" s="75"/>
      <c r="E63" s="75"/>
      <c r="F63" s="75"/>
      <c r="G63" s="75"/>
      <c r="H63" s="75"/>
      <c r="I63" s="75"/>
      <c r="J63" s="75"/>
      <c r="K63" s="84"/>
      <c r="L63" s="75" t="s">
        <v>487</v>
      </c>
      <c r="M63" s="75"/>
      <c r="N63" s="75"/>
      <c r="O63" s="75"/>
      <c r="P63" s="75"/>
      <c r="Q63" s="83"/>
      <c r="R63" s="75"/>
      <c r="S63" s="75"/>
      <c r="T63" s="75"/>
      <c r="U63" s="75"/>
      <c r="V63" s="75"/>
      <c r="W63" s="75"/>
      <c r="X63" s="75"/>
      <c r="Y63" s="75"/>
      <c r="Z63" s="75"/>
    </row>
    <row r="64" spans="2:26" ht="15.6">
      <c r="B64" s="594"/>
      <c r="C64" s="82"/>
      <c r="D64" s="75"/>
      <c r="E64" s="75"/>
      <c r="F64" s="75"/>
      <c r="G64" s="75"/>
      <c r="H64" s="75"/>
      <c r="I64" s="75"/>
      <c r="J64" s="75"/>
      <c r="K64" s="84"/>
      <c r="L64" s="595" t="s">
        <v>369</v>
      </c>
      <c r="M64" s="597" t="s">
        <v>488</v>
      </c>
      <c r="N64" s="598"/>
      <c r="O64" s="597" t="s">
        <v>489</v>
      </c>
      <c r="P64" s="599"/>
      <c r="Q64" s="83"/>
      <c r="R64" s="75"/>
      <c r="S64" s="75"/>
      <c r="T64" s="75"/>
      <c r="U64" s="75"/>
      <c r="V64" s="75"/>
      <c r="W64" s="75"/>
      <c r="X64" s="75"/>
      <c r="Y64" s="75"/>
      <c r="Z64" s="75"/>
    </row>
    <row r="65" spans="2:26" ht="15.6">
      <c r="B65" s="594"/>
      <c r="C65" s="82"/>
      <c r="D65" s="75"/>
      <c r="E65" s="75"/>
      <c r="F65" s="75"/>
      <c r="G65" s="75"/>
      <c r="H65" s="75"/>
      <c r="I65" s="75"/>
      <c r="J65" s="75"/>
      <c r="K65" s="84"/>
      <c r="L65" s="596"/>
      <c r="M65" s="113" t="s">
        <v>0</v>
      </c>
      <c r="N65" s="113" t="s">
        <v>490</v>
      </c>
      <c r="O65" s="113" t="s">
        <v>0</v>
      </c>
      <c r="P65" s="121" t="s">
        <v>490</v>
      </c>
      <c r="Q65" s="83"/>
      <c r="R65" s="75"/>
      <c r="S65" s="75"/>
      <c r="T65" s="75"/>
      <c r="U65" s="75"/>
      <c r="V65" s="75"/>
      <c r="W65" s="75"/>
      <c r="X65" s="75"/>
      <c r="Y65" s="75"/>
      <c r="Z65" s="75"/>
    </row>
    <row r="66" spans="2:26" ht="15.6">
      <c r="B66" s="594"/>
      <c r="C66" s="82"/>
      <c r="D66" s="75"/>
      <c r="E66" s="75"/>
      <c r="F66" s="75"/>
      <c r="G66" s="75"/>
      <c r="H66" s="75"/>
      <c r="I66" s="75"/>
      <c r="J66" s="75"/>
      <c r="K66" s="84"/>
      <c r="L66" s="122" t="s">
        <v>199</v>
      </c>
      <c r="M66" s="123">
        <v>2</v>
      </c>
      <c r="N66" s="123">
        <v>2</v>
      </c>
      <c r="O66" s="123">
        <v>4</v>
      </c>
      <c r="P66" s="112">
        <v>0</v>
      </c>
      <c r="Q66" s="83"/>
      <c r="R66" s="75"/>
      <c r="S66" s="75"/>
      <c r="T66" s="75"/>
      <c r="U66" s="75"/>
      <c r="V66" s="75"/>
      <c r="W66" s="75"/>
      <c r="X66" s="75"/>
      <c r="Y66" s="75"/>
      <c r="Z66" s="75"/>
    </row>
    <row r="67" spans="2:26" ht="15.6">
      <c r="B67" s="594"/>
      <c r="C67" s="82"/>
      <c r="D67" s="75"/>
      <c r="E67" s="75"/>
      <c r="F67" s="75"/>
      <c r="G67" s="75"/>
      <c r="H67" s="75"/>
      <c r="I67" s="75"/>
      <c r="J67" s="75"/>
      <c r="K67" s="84"/>
      <c r="L67" s="122" t="s">
        <v>213</v>
      </c>
      <c r="M67" s="123">
        <v>2</v>
      </c>
      <c r="N67" s="123">
        <v>2</v>
      </c>
      <c r="O67" s="123">
        <v>0</v>
      </c>
      <c r="P67" s="112">
        <v>4</v>
      </c>
      <c r="Q67" s="83"/>
      <c r="R67" s="75"/>
      <c r="S67" s="75"/>
      <c r="T67" s="75"/>
      <c r="U67" s="75"/>
      <c r="V67" s="75"/>
      <c r="W67" s="75"/>
      <c r="X67" s="75"/>
      <c r="Y67" s="75"/>
      <c r="Z67" s="75"/>
    </row>
    <row r="68" spans="2:26" ht="15.6">
      <c r="B68" s="594"/>
      <c r="C68" s="82"/>
      <c r="D68" s="75"/>
      <c r="E68" s="75"/>
      <c r="F68" s="75"/>
      <c r="G68" s="75"/>
      <c r="H68" s="75"/>
      <c r="I68" s="75"/>
      <c r="J68" s="75"/>
      <c r="K68" s="84"/>
      <c r="L68" s="122" t="s">
        <v>202</v>
      </c>
      <c r="M68" s="123">
        <v>2</v>
      </c>
      <c r="N68" s="123">
        <v>2</v>
      </c>
      <c r="O68" s="123">
        <v>4</v>
      </c>
      <c r="P68" s="112">
        <v>0</v>
      </c>
      <c r="Q68" s="83"/>
      <c r="R68" s="75"/>
      <c r="S68" s="75"/>
      <c r="T68" s="75"/>
      <c r="U68" s="75"/>
      <c r="V68" s="75"/>
      <c r="W68" s="75"/>
      <c r="X68" s="75"/>
      <c r="Y68" s="75"/>
      <c r="Z68" s="75"/>
    </row>
    <row r="69" spans="2:26" ht="15.6">
      <c r="B69" s="594"/>
      <c r="C69" s="82"/>
      <c r="D69" s="75"/>
      <c r="E69" s="75"/>
      <c r="F69" s="75"/>
      <c r="G69" s="75"/>
      <c r="H69" s="75"/>
      <c r="I69" s="75"/>
      <c r="J69" s="75"/>
      <c r="K69" s="84"/>
      <c r="L69" s="75" t="s">
        <v>491</v>
      </c>
      <c r="M69" s="75"/>
      <c r="N69" s="75"/>
      <c r="O69" s="75"/>
      <c r="P69" s="75"/>
      <c r="Q69" s="83"/>
      <c r="R69" s="75"/>
      <c r="S69" s="75"/>
      <c r="T69" s="75"/>
      <c r="U69" s="75"/>
      <c r="V69" s="75"/>
      <c r="W69" s="75"/>
      <c r="X69" s="75"/>
      <c r="Y69" s="75"/>
      <c r="Z69" s="75"/>
    </row>
    <row r="70" spans="2:26" ht="15.6">
      <c r="B70" s="594"/>
      <c r="C70" s="82"/>
      <c r="D70" s="75"/>
      <c r="E70" s="75"/>
      <c r="F70" s="75"/>
      <c r="G70" s="75"/>
      <c r="H70" s="75"/>
      <c r="I70" s="75"/>
      <c r="J70" s="75"/>
      <c r="K70" s="84"/>
      <c r="L70" s="595" t="s">
        <v>369</v>
      </c>
      <c r="M70" s="597" t="s">
        <v>488</v>
      </c>
      <c r="N70" s="598"/>
      <c r="O70" s="597" t="s">
        <v>489</v>
      </c>
      <c r="P70" s="599"/>
      <c r="Q70" s="83"/>
      <c r="R70" s="75"/>
      <c r="S70" s="75"/>
      <c r="T70" s="75"/>
      <c r="U70" s="75"/>
      <c r="V70" s="75"/>
      <c r="W70" s="75"/>
      <c r="X70" s="75"/>
      <c r="Y70" s="75"/>
      <c r="Z70" s="75"/>
    </row>
    <row r="71" spans="2:26" ht="15.6">
      <c r="B71" s="594"/>
      <c r="C71" s="82"/>
      <c r="D71" s="75"/>
      <c r="E71" s="75"/>
      <c r="F71" s="75"/>
      <c r="G71" s="75"/>
      <c r="H71" s="75"/>
      <c r="I71" s="75"/>
      <c r="J71" s="75"/>
      <c r="K71" s="84"/>
      <c r="L71" s="596"/>
      <c r="M71" s="113" t="s">
        <v>0</v>
      </c>
      <c r="N71" s="113" t="s">
        <v>490</v>
      </c>
      <c r="O71" s="113" t="s">
        <v>0</v>
      </c>
      <c r="P71" s="121" t="s">
        <v>490</v>
      </c>
      <c r="Q71" s="83"/>
      <c r="R71" s="75"/>
      <c r="S71" s="75"/>
      <c r="T71" s="75"/>
      <c r="U71" s="75"/>
      <c r="V71" s="75"/>
      <c r="W71" s="75"/>
      <c r="X71" s="75"/>
      <c r="Y71" s="75"/>
      <c r="Z71" s="75"/>
    </row>
    <row r="72" spans="2:26" ht="15.6">
      <c r="B72" s="594"/>
      <c r="C72" s="82"/>
      <c r="D72" s="75"/>
      <c r="E72" s="75"/>
      <c r="F72" s="75"/>
      <c r="G72" s="75"/>
      <c r="H72" s="75"/>
      <c r="I72" s="75"/>
      <c r="J72" s="75"/>
      <c r="K72" s="84"/>
      <c r="L72" s="122" t="s">
        <v>455</v>
      </c>
      <c r="M72" s="123">
        <v>1</v>
      </c>
      <c r="N72" s="123">
        <v>1</v>
      </c>
      <c r="O72" s="123">
        <v>2</v>
      </c>
      <c r="P72" s="112">
        <v>0</v>
      </c>
      <c r="Q72" s="83"/>
      <c r="R72" s="75"/>
      <c r="S72" s="75"/>
      <c r="T72" s="75"/>
      <c r="U72" s="75"/>
      <c r="V72" s="75"/>
      <c r="W72" s="75"/>
      <c r="X72" s="75"/>
      <c r="Y72" s="75"/>
      <c r="Z72" s="75"/>
    </row>
    <row r="73" spans="2:26" ht="15.6">
      <c r="B73" s="594"/>
      <c r="C73" s="82"/>
      <c r="D73" s="75"/>
      <c r="E73" s="75"/>
      <c r="F73" s="75"/>
      <c r="G73" s="75"/>
      <c r="H73" s="75"/>
      <c r="I73" s="75"/>
      <c r="J73" s="75"/>
      <c r="K73" s="84"/>
      <c r="L73" s="122" t="s">
        <v>459</v>
      </c>
      <c r="M73" s="123">
        <v>2</v>
      </c>
      <c r="N73" s="123">
        <v>2</v>
      </c>
      <c r="O73" s="123">
        <v>0</v>
      </c>
      <c r="P73" s="112">
        <v>4</v>
      </c>
      <c r="Q73" s="83"/>
      <c r="R73" s="75"/>
      <c r="S73" s="75"/>
      <c r="T73" s="75"/>
      <c r="U73" s="75"/>
      <c r="V73" s="75"/>
      <c r="W73" s="75"/>
      <c r="X73" s="75"/>
      <c r="Y73" s="75"/>
      <c r="Z73" s="75"/>
    </row>
    <row r="74" spans="2:26" ht="15.6">
      <c r="B74" s="594"/>
      <c r="C74" s="82"/>
      <c r="D74" s="75"/>
      <c r="E74" s="75"/>
      <c r="F74" s="75"/>
      <c r="G74" s="75"/>
      <c r="H74" s="75"/>
      <c r="I74" s="75"/>
      <c r="J74" s="75"/>
      <c r="K74" s="84"/>
      <c r="L74" s="600" t="s">
        <v>492</v>
      </c>
      <c r="M74" s="586" t="s">
        <v>493</v>
      </c>
      <c r="N74" s="586" t="s">
        <v>493</v>
      </c>
      <c r="O74" s="124">
        <v>8</v>
      </c>
      <c r="P74" s="125">
        <v>0</v>
      </c>
      <c r="Q74" s="83"/>
      <c r="R74" s="75"/>
      <c r="S74" s="75"/>
      <c r="T74" s="75"/>
      <c r="U74" s="75"/>
      <c r="V74" s="75"/>
      <c r="W74" s="75"/>
      <c r="X74" s="75"/>
      <c r="Y74" s="75"/>
      <c r="Z74" s="75"/>
    </row>
    <row r="75" spans="2:26" ht="15.6">
      <c r="B75" s="594"/>
      <c r="C75" s="82"/>
      <c r="D75" s="75"/>
      <c r="E75" s="75"/>
      <c r="F75" s="75"/>
      <c r="G75" s="75"/>
      <c r="H75" s="75"/>
      <c r="I75" s="75"/>
      <c r="J75" s="75"/>
      <c r="K75" s="84"/>
      <c r="L75" s="601"/>
      <c r="M75" s="587"/>
      <c r="N75" s="587"/>
      <c r="O75" s="124">
        <v>4</v>
      </c>
      <c r="P75" s="125">
        <v>4</v>
      </c>
      <c r="Q75" s="83"/>
      <c r="R75" s="75"/>
      <c r="S75" s="75"/>
      <c r="T75" s="75"/>
      <c r="U75" s="75"/>
      <c r="V75" s="75"/>
      <c r="W75" s="75"/>
      <c r="X75" s="75"/>
      <c r="Y75" s="75"/>
      <c r="Z75" s="75"/>
    </row>
    <row r="76" spans="2:26" ht="33.75" customHeight="1">
      <c r="B76" s="594"/>
      <c r="C76" s="82"/>
      <c r="D76" s="75"/>
      <c r="E76" s="75"/>
      <c r="F76" s="75"/>
      <c r="G76" s="75"/>
      <c r="H76" s="75"/>
      <c r="I76" s="75"/>
      <c r="J76" s="75"/>
      <c r="K76" s="84"/>
      <c r="L76" s="588" t="s">
        <v>494</v>
      </c>
      <c r="M76" s="589"/>
      <c r="N76" s="589"/>
      <c r="O76" s="589"/>
      <c r="P76" s="589"/>
      <c r="Q76" s="83"/>
      <c r="R76" s="75"/>
      <c r="S76" s="75"/>
      <c r="T76" s="75"/>
      <c r="U76" s="75"/>
      <c r="V76" s="75"/>
      <c r="W76" s="75"/>
      <c r="X76" s="75"/>
      <c r="Y76" s="75"/>
      <c r="Z76" s="75"/>
    </row>
    <row r="77" spans="2:26" ht="5.25" customHeight="1">
      <c r="B77" s="594"/>
      <c r="C77" s="126"/>
      <c r="D77" s="127"/>
      <c r="E77" s="127"/>
      <c r="F77" s="127"/>
      <c r="G77" s="127"/>
      <c r="H77" s="127"/>
      <c r="I77" s="127"/>
      <c r="J77" s="127"/>
      <c r="K77" s="128"/>
      <c r="L77" s="127"/>
      <c r="M77" s="127"/>
      <c r="N77" s="127"/>
      <c r="O77" s="127"/>
      <c r="P77" s="127"/>
      <c r="Q77" s="129"/>
      <c r="R77" s="75"/>
      <c r="S77" s="75"/>
      <c r="T77" s="75"/>
      <c r="U77" s="75"/>
      <c r="V77" s="75"/>
      <c r="W77" s="75"/>
      <c r="X77" s="75"/>
      <c r="Y77" s="75"/>
      <c r="Z77" s="75"/>
    </row>
    <row r="78" spans="2:26" ht="5.25" customHeight="1">
      <c r="B78" s="590" t="s">
        <v>495</v>
      </c>
      <c r="C78" s="130"/>
      <c r="D78" s="131"/>
      <c r="E78" s="131"/>
      <c r="F78" s="131"/>
      <c r="G78" s="131"/>
      <c r="H78" s="131"/>
      <c r="I78" s="131"/>
      <c r="J78" s="131"/>
      <c r="K78" s="132"/>
      <c r="L78" s="131"/>
      <c r="M78" s="131"/>
      <c r="N78" s="131"/>
      <c r="O78" s="131"/>
      <c r="P78" s="131"/>
      <c r="Q78" s="133"/>
      <c r="R78" s="75"/>
      <c r="S78" s="75"/>
      <c r="T78" s="75"/>
      <c r="U78" s="75"/>
      <c r="V78" s="75"/>
      <c r="W78" s="75"/>
      <c r="X78" s="75"/>
      <c r="Y78" s="75"/>
      <c r="Z78" s="75"/>
    </row>
    <row r="79" spans="2:26" ht="15.6">
      <c r="B79" s="591"/>
      <c r="C79" s="82"/>
      <c r="D79" s="75" t="s">
        <v>496</v>
      </c>
      <c r="E79" s="75"/>
      <c r="F79" s="75"/>
      <c r="G79" s="75"/>
      <c r="H79" s="75"/>
      <c r="I79" s="75"/>
      <c r="J79" s="75"/>
      <c r="K79" s="84"/>
      <c r="L79" s="75" t="s">
        <v>497</v>
      </c>
      <c r="M79" s="75"/>
      <c r="N79" s="75"/>
      <c r="O79" s="75"/>
      <c r="P79" s="75"/>
      <c r="Q79" s="83"/>
      <c r="R79" s="75"/>
      <c r="S79" s="75"/>
      <c r="T79" s="75"/>
      <c r="U79" s="75"/>
      <c r="V79" s="75"/>
      <c r="W79" s="75"/>
      <c r="X79" s="75"/>
      <c r="Y79" s="75"/>
      <c r="Z79" s="75"/>
    </row>
    <row r="80" spans="2:26" ht="15.6">
      <c r="B80" s="591"/>
      <c r="C80" s="82"/>
      <c r="D80" s="75"/>
      <c r="E80" s="75"/>
      <c r="F80" s="75"/>
      <c r="G80" s="75"/>
      <c r="H80" s="75"/>
      <c r="I80" s="75"/>
      <c r="J80" s="75"/>
      <c r="K80" s="84"/>
      <c r="L80" s="75" t="s">
        <v>498</v>
      </c>
      <c r="M80" s="75"/>
      <c r="N80" s="75"/>
      <c r="O80" s="75"/>
      <c r="P80" s="75"/>
      <c r="Q80" s="83"/>
      <c r="R80" s="75"/>
      <c r="S80" s="75"/>
      <c r="T80" s="75"/>
      <c r="U80" s="75"/>
      <c r="V80" s="75"/>
      <c r="W80" s="75"/>
      <c r="X80" s="75"/>
      <c r="Y80" s="75"/>
      <c r="Z80" s="75"/>
    </row>
    <row r="81" spans="2:26" ht="5.25" customHeight="1" thickBot="1">
      <c r="B81" s="592"/>
      <c r="C81" s="85"/>
      <c r="D81" s="86"/>
      <c r="E81" s="86"/>
      <c r="F81" s="86"/>
      <c r="G81" s="86"/>
      <c r="H81" s="86"/>
      <c r="I81" s="86"/>
      <c r="J81" s="86"/>
      <c r="K81" s="88"/>
      <c r="L81" s="86"/>
      <c r="M81" s="86"/>
      <c r="N81" s="86"/>
      <c r="O81" s="86"/>
      <c r="P81" s="86"/>
      <c r="Q81" s="87"/>
      <c r="R81" s="75"/>
      <c r="S81" s="75"/>
      <c r="T81" s="75"/>
      <c r="U81" s="75"/>
      <c r="V81" s="75"/>
      <c r="W81" s="75"/>
      <c r="X81" s="75"/>
      <c r="Y81" s="75"/>
      <c r="Z81" s="75"/>
    </row>
    <row r="82" spans="2:26" ht="4.5" customHeight="1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2:26" ht="15.6" hidden="1"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2:26" ht="15.6" hidden="1"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2:26" ht="15.6" hidden="1"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2:26" ht="15.6" hidden="1"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2:26" ht="15.6" hidden="1"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2:26" ht="15.6" hidden="1"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2:26" ht="15.6" hidden="1"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2:26" ht="15.6" hidden="1"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2:26" ht="15.6" hidden="1"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2:26" ht="15.6" hidden="1"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2:26" ht="15.6" hidden="1"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2:26" ht="15.6" hidden="1"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2:26" ht="15.6" hidden="1"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2:26" ht="15.6" hidden="1"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2:26" ht="15.6" hidden="1"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2:26" ht="15.6" hidden="1"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2:26" ht="15.6" hidden="1"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2:26" ht="15.6" hidden="1"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2:26" ht="15.6" hidden="1"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2:26" ht="15.6" hidden="1"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2:26" ht="15.6" hidden="1"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2:26" ht="15.6" hidden="1"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2:26" ht="15.6" hidden="1"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2:26" ht="15.6" hidden="1"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2:26" ht="15.6" hidden="1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2:26" ht="15.6" hidden="1"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2:26" ht="15.6" hidden="1"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2:26" ht="15.6" hidden="1"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2:26" ht="15.6" hidden="1"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2:26" ht="15.6" hidden="1"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2:26" ht="15.6" hidden="1"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2:26" ht="15.6" hidden="1"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2:26" ht="15.6" hidden="1"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2:26" ht="15.6" hidden="1"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2:26" ht="15.6" hidden="1"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2:26" ht="15.6" hidden="1"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2:26" ht="15.6" hidden="1"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2:26" ht="15.6" hidden="1"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2:26" ht="15.6" hidden="1"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2:26" ht="15.6" hidden="1"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2:26" ht="15.6" hidden="1"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2:26" ht="15.6" hidden="1"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2:26" ht="15.6" hidden="1"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2:26" ht="15.6" hidden="1"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2:26" ht="15.6" hidden="1"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2:26" ht="15.6" hidden="1"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2:26" ht="15.6" hidden="1"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2:26" ht="15.6" hidden="1"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2:26" ht="15.6" hidden="1"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2:26" ht="15.6" hidden="1"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2:26" ht="15.6" hidden="1"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2:26" ht="15.6" hidden="1"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2:26" ht="15.6" hidden="1"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2:26" ht="15.6" hidden="1"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2:26" ht="15.6" hidden="1"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2:26" ht="15.6" hidden="1"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2:26" ht="15.6" hidden="1"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2:26" ht="15.6" hidden="1"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2:26" ht="15.6" hidden="1"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2:26" ht="15.6" hidden="1"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2:26" ht="15.6" hidden="1"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2:26" ht="15.6" hidden="1"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2:26" ht="15.6" hidden="1"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2:26" ht="15.6" hidden="1"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2:26" ht="15.6" hidden="1"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2:26" ht="15.6" hidden="1"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2:26" ht="15.6" hidden="1"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2:26" ht="15.6" hidden="1"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2:26" ht="15.6" hidden="1"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2:26" ht="15.6" hidden="1"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2:26" ht="15.6" hidden="1"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2:26" ht="15.6" hidden="1"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2:26" ht="15.6" hidden="1"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2:26" ht="15.6" hidden="1"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2:26" ht="15.6" hidden="1"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2:26" ht="15.6" hidden="1"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2:26" ht="15.6" hidden="1"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2:26" ht="15.6" hidden="1"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2:26" ht="15.6" hidden="1"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2:26" ht="15.6" hidden="1"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2:26" ht="15.6" hidden="1"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2:26" ht="15.6" hidden="1"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2:26" ht="15.6" hidden="1"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2:26" ht="15.6" hidden="1"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2:26" ht="15.6" hidden="1"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2:26" ht="15.6" hidden="1"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2:26" ht="15.6" hidden="1"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2:26" ht="15.6" hidden="1"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2:26" ht="15.6" hidden="1"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2:26" ht="15.6" hidden="1"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2:26" ht="15.6" hidden="1"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2:26" ht="15.6" hidden="1"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2:26" ht="15.6" hidden="1"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2:26" ht="15.6" hidden="1"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2:26" ht="15.6" hidden="1"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2:26" ht="15.6" hidden="1"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2:26" ht="15.6" hidden="1"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2:26" ht="15.6" hidden="1"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2:26" ht="15.6" hidden="1"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2:26" ht="15.6" hidden="1"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2:26" ht="15.6" hidden="1"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2:26" ht="15.6" hidden="1"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2:26" ht="15.6" hidden="1"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2:26" ht="15.6" hidden="1"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2:26" ht="15.6" hidden="1"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2:26" ht="15.6" hidden="1"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2:26" ht="15.6" hidden="1"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2:26" ht="15.6" hidden="1"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2:26" ht="15.6" hidden="1"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2:26" ht="15.6" hidden="1"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2:26" ht="15.6" hidden="1"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2:26" ht="15.6" hidden="1"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2:26" ht="15.6" hidden="1"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2:26" ht="15.6" hidden="1"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2:26" ht="15.6" hidden="1"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2:26" ht="15.6" hidden="1"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2:26" ht="15.6" hidden="1"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2:26" ht="15.6" hidden="1"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2:26" ht="15.6" hidden="1"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2:26" ht="15.6" hidden="1"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2:26" ht="15.6" hidden="1"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2:26" ht="15.6" hidden="1"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2:26" ht="15.6" hidden="1"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2:26" ht="15.6" hidden="1"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2:26" ht="15.6" hidden="1"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2:26" ht="15.6" hidden="1"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2:26" ht="15.6" hidden="1"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2:26" ht="15.6" hidden="1"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2:26" ht="15.6" hidden="1"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2:26" ht="15.6" hidden="1"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2:26" ht="15.6" hidden="1"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2:26" ht="15.6" hidden="1"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2:26" ht="15.6" hidden="1"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2:26" ht="15.6" hidden="1"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2:26" ht="15.6" hidden="1"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2:26" ht="15.6" hidden="1"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2:26" ht="15.6" hidden="1"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2:26" ht="15.6" hidden="1"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2:26" ht="15.6" hidden="1"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2:26" ht="15.6" hidden="1"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2:26" ht="15.6" hidden="1"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2:26" ht="15.6" hidden="1"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2:26" ht="15.6" hidden="1"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2:26" ht="15.6" hidden="1"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2:26" ht="15.6" hidden="1"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2:26" ht="15.6" hidden="1"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2:26" ht="15.6" hidden="1"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2:26" ht="15.6" hidden="1"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2:26" ht="15.6" hidden="1"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2:26" ht="15.6" hidden="1"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2:26" ht="15.6" hidden="1"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2:26" ht="15.6" hidden="1"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2:26" ht="15.6" hidden="1"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2:26" ht="15.6" hidden="1"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2:26" ht="15.6" hidden="1"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2:26" ht="15.6" hidden="1"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2:26" ht="15.6" hidden="1"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2:26" ht="15.6" hidden="1"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2:26" ht="15.6" hidden="1"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2:26" ht="15.6" hidden="1"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2:26" ht="15.6" hidden="1"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2:26" ht="15.6" hidden="1"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2:26" ht="15.6" hidden="1"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2:26" ht="15.6" hidden="1"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2:26" ht="15.6" hidden="1"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2:26" ht="15.6" hidden="1"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2:26" ht="15.6" hidden="1"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2:26" ht="15.6" hidden="1"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2:26" ht="15.6" hidden="1"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2:26" ht="15.6" hidden="1"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2:26" ht="15.6" hidden="1"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2:26" ht="15.6" hidden="1"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2:26" ht="15.6" hidden="1"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2:26" ht="15.6" hidden="1"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2:26" ht="15.6" hidden="1"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2:26" ht="15.6" hidden="1"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2:26" ht="15.6" hidden="1"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2:26" ht="15.6" hidden="1"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2:26" ht="15.6" hidden="1"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2:26" ht="15.6" hidden="1"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2:26" ht="15.6" hidden="1"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2:26" ht="15.6" hidden="1"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2:26" ht="15.6" hidden="1"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2:26" ht="15.6" hidden="1"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2:26" ht="15.6" hidden="1"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2:26" ht="15.6" hidden="1"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2:26" ht="15.6" hidden="1"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2:26" ht="15.6" hidden="1"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2:26" ht="15.6" hidden="1"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2:26" ht="15.6" hidden="1"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2:26" ht="15.6" hidden="1"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2:26" ht="15.6" hidden="1"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2:26" ht="15.6" hidden="1"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2:26" ht="15.6" hidden="1"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2:26" ht="15.6" hidden="1"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2:26" ht="15.6" hidden="1"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2:26" ht="15.6" hidden="1"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2:26" ht="15.6" hidden="1"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2:26" ht="15.6" hidden="1"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2:26" ht="15.6" hidden="1"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2:26" ht="15.6" hidden="1"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2:26" ht="15.6" hidden="1"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2:26" ht="15.6" hidden="1"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2:26" ht="15.6" hidden="1"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2:26" ht="15.6" hidden="1"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2:26" ht="15.6" hidden="1"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2:26" ht="15.6" hidden="1"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2:26" ht="15.6" hidden="1"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2:26" ht="15.6" hidden="1"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2:26" ht="15.6" hidden="1"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2:26" ht="15.6" hidden="1"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2:26" ht="15.6" hidden="1"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2:26" ht="15.6" hidden="1"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2:26" ht="15.6" hidden="1"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2:26" ht="15.6" hidden="1"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2:26" ht="15.6" hidden="1"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2:26" ht="15.6" hidden="1"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2:26" ht="15.6" hidden="1"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2:26" ht="15.6" hidden="1"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2:26" ht="15.6" hidden="1"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2:26" ht="15.6" hidden="1"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2:26" ht="15.6" hidden="1"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2:26" ht="15.6" hidden="1"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2:26" ht="15.6" hidden="1"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2:26" ht="15.6" hidden="1"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2:26" ht="15.6" hidden="1"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2:26" ht="15.6" hidden="1"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2:26" ht="15.6" hidden="1"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2:26" ht="15.6" hidden="1"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2:26" ht="15.6" hidden="1"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2:26" ht="15.6" hidden="1"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2:26" ht="15.6" hidden="1"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2:26" ht="15.6" hidden="1"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2:26" ht="15.6" hidden="1"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2:26" ht="15.6" hidden="1"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2:26" ht="15.6" hidden="1"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2:26" ht="15.6" hidden="1"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2:26" ht="15.6" hidden="1"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2:26" ht="15.6" hidden="1"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2:26" ht="15.6" hidden="1"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2:26" ht="15.6" hidden="1"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2:26" ht="15.6" hidden="1"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2:26" ht="15.6" hidden="1"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2:26" ht="15.6" hidden="1"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2:26" ht="15.6" hidden="1"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2:26" ht="15.6" hidden="1"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2:26" ht="15.6" hidden="1"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2:26" ht="15.6" hidden="1"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2:26" ht="15.6" hidden="1"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2:26" ht="15.6" hidden="1"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2:26" ht="15.6" hidden="1"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2:26" ht="15.6" hidden="1"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2:26" ht="15.6" hidden="1"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2:26" ht="15.6" hidden="1"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2:26" ht="15.6" hidden="1"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2:26" ht="15.6" hidden="1"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2:26" ht="15.6" hidden="1"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2:26" ht="15.6" hidden="1"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2:26" ht="15.6" hidden="1"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2:26" ht="15.6" hidden="1"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2:26" ht="15.6" hidden="1"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2:26" ht="15.6" hidden="1"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2:26" ht="15.6" hidden="1"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2:26" ht="15.6" hidden="1"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2:26" ht="15.6" hidden="1"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2:26" ht="15.6" hidden="1"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2:26" ht="15.6" hidden="1"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2:26" ht="15.6" hidden="1"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2:26" ht="15.6" hidden="1"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2:26" ht="15.6" hidden="1"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2:26" ht="15.6" hidden="1"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2:26" ht="15.6" hidden="1"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2:26" ht="15.6" hidden="1"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2:26" ht="15.6" hidden="1"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2:26" ht="15.6" hidden="1"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2:26" ht="15.6" hidden="1"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2:26" ht="15.6" hidden="1"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2:26" ht="15.6" hidden="1"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2:26" ht="15.6" hidden="1"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2:26" ht="15.6" hidden="1"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2:26" ht="15.6" hidden="1"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2:26" ht="15.6" hidden="1"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2:26" ht="15.6" hidden="1"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2:26" ht="15.6" hidden="1"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2:26" ht="15.6" hidden="1"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2:26" ht="15.6" hidden="1"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2:26" ht="15.6" hidden="1"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2:26" ht="15.6" hidden="1"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2:26" ht="15.6" hidden="1"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2:26" ht="15.6" hidden="1"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2:26" ht="15.6" hidden="1"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2:26" ht="15.6" hidden="1"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2:26" ht="15.6" hidden="1"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2:26" ht="15.6" hidden="1"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2:26" ht="15.6" hidden="1"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2:26" ht="15.6" hidden="1"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2:26" ht="15.6" hidden="1"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2:26" ht="15.6" hidden="1"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2:26" ht="15.6" hidden="1"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2:26" ht="15.6" hidden="1"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2:26" ht="15.6" hidden="1"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2:26" ht="15.6" hidden="1"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2:26" ht="15.6" hidden="1"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2:26" ht="15.6" hidden="1"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2:26" ht="15.6" hidden="1"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2:26" ht="15.6" hidden="1"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2:26" ht="15.6" hidden="1"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2:26" ht="15.6" hidden="1"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2:26" ht="15.6" hidden="1"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2:26" ht="15.6" hidden="1"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2:26" ht="15.6" hidden="1"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2:26" ht="15.6" hidden="1"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2:26" ht="15.6" hidden="1"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2:26" ht="15.6" hidden="1"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2:26" ht="15.6" hidden="1"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2:26" ht="15.6" hidden="1"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2:26" ht="15.6" hidden="1"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2:26" ht="15.6" hidden="1"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2:26" ht="15.6" hidden="1"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2:26" ht="15.6" hidden="1"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2:26" ht="15.6" hidden="1"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2:26" ht="15.6" hidden="1"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2:26" ht="15.6" hidden="1"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2:26" ht="15.6" hidden="1"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2:26" ht="15.6" hidden="1"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2:26" ht="15.6" hidden="1"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2:26" ht="15.6" hidden="1"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2:26" ht="15.6" hidden="1"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2:26" ht="15.6" hidden="1"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2:26" ht="15.6" hidden="1"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2:26" ht="15.6" hidden="1"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2:26" ht="15.6" hidden="1"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2:26" ht="15.6" hidden="1"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2:26" ht="15.6" hidden="1"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2:26" ht="15.6" hidden="1"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2:26" ht="15.6" hidden="1"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2:26" ht="15.6" hidden="1"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2:26" ht="15.6" hidden="1"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2:26" ht="15.6" hidden="1"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2:26" ht="15.6" hidden="1"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2:26" ht="15.6" hidden="1"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2:26" ht="15.6" hidden="1"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2:26" ht="15.6" hidden="1"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2:26" ht="15.6" hidden="1"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2:26" ht="15.6" hidden="1"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2:26" ht="15.6" hidden="1"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2:26" ht="15.6" hidden="1"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2:26" ht="15.6" hidden="1"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2:26" ht="15.6" hidden="1"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2:26" ht="15.6" hidden="1"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2:26" ht="15.6" hidden="1"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2:26" ht="15.6" hidden="1"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2:26" ht="15.6" hidden="1"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2:26" ht="15.6" hidden="1"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2:26" ht="15.6" hidden="1"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2:26" ht="15.6" hidden="1"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2:26" ht="15.6" hidden="1"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2:26" ht="15.6" hidden="1"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2:26" ht="15.6" hidden="1"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2:26" ht="15.6" hidden="1"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2:26" ht="15.6" hidden="1"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2:26" ht="15.6" hidden="1"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2:26" ht="15.6" hidden="1"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2:26" ht="15.6" hidden="1"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2:26" ht="15.6" hidden="1"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2:26" ht="15.6" hidden="1"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2:26" ht="15.6" hidden="1"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2:26" ht="15.6" hidden="1"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2:26" ht="15.6" hidden="1"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2:26" ht="15.6" hidden="1"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2:26" ht="15.6" hidden="1"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2:26" ht="15.6" hidden="1"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2:26" ht="15.6" hidden="1"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2:26" ht="15.6" hidden="1"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2:26" ht="15.6" hidden="1"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2:26" ht="15.6" hidden="1"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2:26" ht="15.6" hidden="1"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2:26" ht="15.6" hidden="1"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2:26" ht="15.6" hidden="1"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2:26" ht="15.6" hidden="1"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2:26" ht="15.6" hidden="1"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2:26" ht="15.6" hidden="1"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2:26" ht="15.6" hidden="1"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2:26" ht="15.6" hidden="1"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2:26" ht="15.6" hidden="1"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2:26" ht="15.6" hidden="1"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2:26" ht="15.6" hidden="1"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2:26" ht="15.6" hidden="1"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2:26" ht="15.6" hidden="1"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2:26" ht="15.6" hidden="1"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2:26" ht="15.6" hidden="1"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2:26" ht="15.6" hidden="1"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2:26" ht="15.6" hidden="1"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2:26" ht="15.6" hidden="1"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2:26" ht="15.6" hidden="1"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2:26" ht="15.6" hidden="1"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2:26" ht="15.6" hidden="1"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2:26" ht="15.6" hidden="1"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2:26" ht="15.6" hidden="1"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2:26" ht="15.6" hidden="1"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2:26" ht="15.6" hidden="1"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2:26" ht="15.6" hidden="1"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2:26" ht="15.6" hidden="1"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2:26" ht="15.6" hidden="1"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2:26" ht="15.6" hidden="1"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2:26" ht="15.6" hidden="1"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2:26" ht="15.6" hidden="1"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2:26" ht="15.6" hidden="1"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2:26" ht="15.6" hidden="1"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2:26" ht="15.6" hidden="1"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2:26" ht="15.6" hidden="1"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2:26" ht="15.6" hidden="1"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2:26" ht="15.6" hidden="1"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2:26" ht="15.6" hidden="1"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2:26" ht="15.6" hidden="1"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2:26" ht="15.6" hidden="1"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2:26" ht="15.6" hidden="1"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2:26" ht="15.6" hidden="1"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2:26" ht="15.6" hidden="1"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2:26" ht="15.6" hidden="1"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2:26" ht="15.6" hidden="1"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2:26" ht="15.6" hidden="1"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2:26" ht="15.6" hidden="1"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2:26" ht="15.6" hidden="1"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2:26" ht="15.6" hidden="1"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2:26" ht="15.6" hidden="1"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2:26" ht="15.6" hidden="1"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2:26" ht="15.6" hidden="1"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2:26" ht="15.6" hidden="1"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2:26" ht="15.6" hidden="1"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2:26" ht="15.6" hidden="1"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2:26" ht="15.6" hidden="1"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2:26" ht="15.6" hidden="1"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2:26" ht="15.6" hidden="1"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2:26" ht="15.6" hidden="1"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2:26" ht="15.6" hidden="1"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2:26" ht="15.6" hidden="1"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2:26" ht="15.6" hidden="1"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2:26" ht="15.6" hidden="1"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2:26" ht="15.6" hidden="1"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2:26" ht="15.6" hidden="1"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2:26" ht="15.6" hidden="1"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2:26" ht="15.6" hidden="1"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2:26" ht="15.6" hidden="1"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2:26" ht="15.6" hidden="1"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2:26" ht="15.6" hidden="1"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2:26" ht="15.6" hidden="1"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2:26" ht="15.6" hidden="1"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2:26" ht="15.6" hidden="1"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2:26" ht="15.6" hidden="1"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2:26" ht="15.6" hidden="1"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2:26" ht="15.6" hidden="1"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2:26" ht="15.6" hidden="1"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2:26" ht="15.6" hidden="1"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2:26" ht="15.6" hidden="1"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2:26" ht="15.6" hidden="1"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2:26" ht="15.6" hidden="1"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2:26" ht="15.6" hidden="1"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2:26" ht="15.6" hidden="1"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2:26" ht="15.6" hidden="1"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2:26" ht="15.6" hidden="1"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2:26" ht="15.6" hidden="1"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2:26" ht="15.6" hidden="1"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2:26" ht="15.6" hidden="1"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2:26" ht="15.6" hidden="1"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2:26" ht="15.6" hidden="1"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2:26" ht="15.6" hidden="1"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2:26" ht="15.6" hidden="1"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2:26" ht="15.6" hidden="1"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2:26" ht="15.6" hidden="1"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2:26" ht="15.6" hidden="1"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2:26" ht="15.6" hidden="1"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2:26" ht="15.6" hidden="1"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2:26" ht="15.6" hidden="1"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2:26" ht="15.6" hidden="1"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2:26" ht="15.6" hidden="1"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2:26" ht="15.6" hidden="1"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2:26" ht="15.6" hidden="1"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2:26" ht="15.6" hidden="1"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2:26" ht="15.6" hidden="1"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2:26" ht="15.6" hidden="1"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2:26" ht="15.6" hidden="1"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2:26" ht="15.6" hidden="1"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2:26" ht="15.6" hidden="1"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2:26" ht="15.6" hidden="1"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2:26" ht="15.6" hidden="1"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2:26" ht="15.6" hidden="1"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2:26" ht="15.6" hidden="1"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2:26" ht="15.6" hidden="1"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2:26" ht="15.6" hidden="1"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2:26" ht="15.6" hidden="1"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2:26" ht="15.6" hidden="1"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2:26" ht="15.6" hidden="1"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2:26" ht="15.6" hidden="1"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2:26" ht="15.6" hidden="1"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2:26" ht="15.6" hidden="1"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2:26" ht="15.6" hidden="1"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2:26" ht="15.6" hidden="1"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2:26" ht="15.6" hidden="1"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2:26" ht="15.6" hidden="1"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2:26" ht="15.6" hidden="1"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2:26" ht="15.6" hidden="1"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2:26" ht="15.6" hidden="1"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2:26" ht="15.6" hidden="1"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2:26" ht="15.6" hidden="1"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2:26" ht="15.6" hidden="1"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2:26" ht="15.6" hidden="1"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2:26" ht="15.6" hidden="1"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2:26" ht="15.6" hidden="1"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2:26" ht="15.6" hidden="1"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2:26" ht="15.6" hidden="1"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2:26" ht="15.6" hidden="1"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2:26" ht="15.6" hidden="1"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2:26" ht="15.6" hidden="1"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2:26" ht="15.6" hidden="1"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2:26" ht="15.6" hidden="1"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2:26" ht="15.6" hidden="1"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2:26" ht="15.6" hidden="1"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2:26" ht="15.6" hidden="1"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2:26" ht="15.6" hidden="1"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2:26" ht="15.6" hidden="1"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2:26" ht="15.6" hidden="1"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2:26" ht="15.6" hidden="1"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2:26" ht="15.6" hidden="1"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2:26" ht="15.6" hidden="1"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2:26" ht="15.6" hidden="1"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2:26" ht="15.6" hidden="1"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2:26" ht="15.6" hidden="1"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2:26" ht="15.6" hidden="1"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2:26" ht="15.6" hidden="1"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2:26" ht="15.6" hidden="1"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2:26" ht="15.6" hidden="1"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2:26" ht="15.6" hidden="1"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2:26" ht="15.6" hidden="1"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2:26" ht="15.6" hidden="1"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2:26" ht="15.6" hidden="1"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2:26" ht="15.6" hidden="1"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2:26" ht="15.6" hidden="1"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2:26" ht="15.6" hidden="1"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2:26" ht="15.6" hidden="1"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2:26" ht="15.6" hidden="1"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2:26" ht="15.6" hidden="1"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2:26" ht="15.6" hidden="1"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2:26" ht="15.6" hidden="1"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2:26" ht="15.6" hidden="1"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2:26" ht="15.6" hidden="1"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2:26" ht="15.6" hidden="1"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2:26" ht="15.6" hidden="1"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2:26" ht="15.6" hidden="1"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2:26" ht="15.6" hidden="1"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2:26" ht="15.6" hidden="1"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2:26" ht="15.6" hidden="1"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2:26" ht="15.6" hidden="1"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2:26" ht="15.6" hidden="1"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2:26" ht="15.6" hidden="1"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2:26" ht="15.6" hidden="1"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2:26" ht="15.6" hidden="1"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2:26" ht="15.6" hidden="1"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2:26" ht="15.6" hidden="1"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2:26" ht="15.6" hidden="1"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2:26" ht="15.6" hidden="1"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2:26" ht="15.6" hidden="1"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2:26" ht="15.6" hidden="1"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2:26" ht="15.6" hidden="1"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2:26" ht="15.6" hidden="1"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2:26" ht="15.6" hidden="1"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2:26" ht="15.6" hidden="1"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2:26" ht="15.6" hidden="1"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2:26" ht="15.6" hidden="1"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2:26" ht="15.6" hidden="1"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2:26" ht="15.6" hidden="1"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2:26" ht="15.6" hidden="1"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2:26" ht="15.6" hidden="1"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2:26" ht="15.6" hidden="1"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2:26" ht="15.6" hidden="1"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2:26" ht="15.6" hidden="1"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2:26" ht="15.6" hidden="1"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2:26" ht="15.6" hidden="1"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2:26" ht="15.6" hidden="1"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2:26" ht="15.6" hidden="1"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2:26" ht="15.6" hidden="1"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2:26" ht="15.6" hidden="1"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2:26" ht="15.6" hidden="1"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2:26" ht="15.6" hidden="1"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2:26" ht="15.6" hidden="1"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2:26" ht="15.6" hidden="1"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2:26" ht="15.6" hidden="1"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2:26" ht="15.6" hidden="1"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2:26" ht="15.6" hidden="1"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2:26" ht="15.6" hidden="1"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2:26" ht="15.6" hidden="1"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2:26" ht="15.6" hidden="1"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2:26" ht="15.6" hidden="1"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2:26" ht="15.6" hidden="1"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2:26" ht="15.6" hidden="1"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2:26" ht="15.6" hidden="1"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2:26" ht="15.6" hidden="1"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2:26" ht="15.6" hidden="1"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2:26" ht="15.6" hidden="1"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2:26" ht="15.6" hidden="1"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2:26" ht="15.6" hidden="1"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2:26" ht="15.6" hidden="1"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2:26" ht="15.6" hidden="1"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2:26" ht="15.6" hidden="1"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2:26" ht="15.6" hidden="1"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2:26" ht="15.6" hidden="1"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2:26" ht="15.6" hidden="1"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2:26" ht="15.6" hidden="1"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2:26" ht="15.6" hidden="1"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2:26" ht="15.6" hidden="1"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2:26" ht="15.6" hidden="1"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2:26" ht="15.6" hidden="1"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2:26" ht="15.6" hidden="1"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2:26" ht="15.6" hidden="1"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2:26" ht="15.6" hidden="1"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2:26" ht="15.6" hidden="1"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2:26" ht="15.6" hidden="1"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2:26" ht="15.6" hidden="1"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2:26" ht="15.6" hidden="1"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2:26" ht="15.6" hidden="1"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2:26" ht="15.6" hidden="1"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2:26" ht="15.6" hidden="1"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2:26" ht="15.6" hidden="1"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2:26" ht="15.6" hidden="1"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2:26" ht="15.6" hidden="1"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2:26" ht="15.6" hidden="1"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2:26" ht="15.6" hidden="1"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2:26" ht="15.6" hidden="1"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2:26" ht="15.6" hidden="1"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2:26" ht="15.6" hidden="1"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2:26" ht="15.6" hidden="1"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2:26" ht="15.6" hidden="1"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2:26" ht="15.6" hidden="1"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2:26" ht="15.6" hidden="1"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2:26" ht="15.6" hidden="1"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2:26" ht="15.6" hidden="1"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2:26" ht="15.6" hidden="1"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2:26" ht="15.6" hidden="1"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2:26" ht="15.6" hidden="1"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2:26" ht="15.6" hidden="1"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2:26" ht="15.6" hidden="1"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2:26" ht="15.6" hidden="1"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2:26" ht="15.6" hidden="1"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2:26" ht="15.6" hidden="1"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2:26" ht="15.6" hidden="1"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2:26" ht="15.6" hidden="1"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2:26" ht="15.6" hidden="1"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2:26" ht="15.6" hidden="1"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2:26" ht="15.6" hidden="1"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2:26" ht="15.6" hidden="1"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2:26" ht="15.6" hidden="1"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2:26" ht="15.6" hidden="1"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2:26" ht="15.6" hidden="1"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2:26" ht="15.6" hidden="1"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2:26" ht="15.6" hidden="1"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2:26" ht="15.6" hidden="1"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2:26" ht="15.6" hidden="1"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2:26" ht="15.6" hidden="1"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2:26" ht="15.6" hidden="1"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2:26" ht="15.6" hidden="1"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2:26" ht="15.6" hidden="1"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2:26" ht="15.6" hidden="1"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2:26" ht="15.6" hidden="1"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2:26" ht="15.6" hidden="1"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2:26" ht="15.6" hidden="1"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2:26" ht="15.6" hidden="1"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2:26" ht="15.6" hidden="1"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2:26" ht="15.6" hidden="1"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2:26" ht="15.6" hidden="1"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2:26" ht="15.6" hidden="1"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2:26" ht="15.6" hidden="1"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2:26" ht="15.6" hidden="1"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2:26" ht="15.6" hidden="1"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2:26" ht="15.6" hidden="1"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2:26" ht="15.6" hidden="1"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2:26" ht="15.6" hidden="1"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2:26" ht="15.6" hidden="1"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2:26" ht="15.6" hidden="1"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2:26" ht="15.6" hidden="1"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2:26" ht="15.6" hidden="1"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2:26" ht="15.6" hidden="1"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2:26" ht="15.6" hidden="1"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2:26" ht="15.6" hidden="1"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2:26" ht="15.6" hidden="1"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2:26" ht="15.6" hidden="1"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2:26" ht="15.6" hidden="1"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2:26" ht="15.6" hidden="1"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2:26" ht="15.6" hidden="1"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2:26" ht="15.6" hidden="1"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2:26" ht="15.6" hidden="1"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2:26" ht="15.6" hidden="1"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2:26" ht="15.6" hidden="1"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2:26" ht="15.6" hidden="1"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2:26" ht="15.6" hidden="1"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2:26" ht="15.6" hidden="1"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2:26" ht="15.6" hidden="1"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2:26" ht="15.6" hidden="1"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2:26" ht="15.6" hidden="1"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2:26" ht="15.6" hidden="1"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2:26" ht="15.6" hidden="1"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2:26" ht="15.6" hidden="1"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2:26" ht="15.6" hidden="1"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2:26" ht="15.6" hidden="1"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2:26" ht="15.6" hidden="1"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2:26" ht="15.6" hidden="1"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2:26" ht="15.6" hidden="1"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2:26" ht="15.6" hidden="1"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2:26" ht="15.6" hidden="1"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2:26" ht="15.6" hidden="1"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2:26" ht="15.6" hidden="1"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2:26" ht="15.6" hidden="1"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2:26" ht="15.6" hidden="1"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2:26" ht="15.6" hidden="1"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2:26" ht="15.6" hidden="1"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2:26" ht="15.6" hidden="1"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2:26" ht="15.6" hidden="1"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2:26" ht="15.6" hidden="1"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2:26" ht="15.6" hidden="1"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2:26" ht="15.6" hidden="1"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2:26" ht="15.6" hidden="1"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2:26" ht="15.6" hidden="1"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2:26" ht="15.6" hidden="1"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2:26" ht="15.6" hidden="1"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2:26" ht="15.6" hidden="1"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2:26" ht="15.6" hidden="1"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2:26" ht="15.6" hidden="1"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2:26" ht="15.6" hidden="1"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2:26" ht="15.6" hidden="1"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2:26" ht="15.6" hidden="1"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2:26" ht="15.6" hidden="1"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2:26" ht="15.6" hidden="1"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2:26" ht="15.6" hidden="1"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2:26" ht="15.6" hidden="1"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2:26" ht="15.6" hidden="1"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2:26" ht="15.6" hidden="1"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2:26" ht="15.6" hidden="1"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2:26" ht="15.6" hidden="1"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2:26" ht="15.6" hidden="1"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2:26" ht="15.6" hidden="1"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2:26" ht="15.6" hidden="1"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2:26" ht="15.6" hidden="1"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2:26" ht="15.6" hidden="1"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2:26" ht="15.6" hidden="1"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2:26" ht="15.6" hidden="1"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2:26" ht="15.6" hidden="1"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2:26" ht="15.6" hidden="1"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2:26" ht="15.6" hidden="1"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2:26" ht="15.6" hidden="1"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2:26" ht="15.6" hidden="1"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2:26" ht="15.6" hidden="1"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2:26" ht="15.6" hidden="1"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2:26" ht="15.6" hidden="1"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2:26" ht="15.6" hidden="1"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2:26" ht="15.6" hidden="1"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2:26" ht="15.6" hidden="1"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2:26" ht="15.6" hidden="1"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2:26" ht="15.6" hidden="1"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2:26" ht="15.6" hidden="1"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2:26" ht="15.6" hidden="1"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2:26" ht="15.6" hidden="1"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2:26" ht="15.6" hidden="1"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2:26" ht="15.6" hidden="1"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2:26" ht="15.6" hidden="1"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2:26" ht="15.6" hidden="1"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2:26" ht="15.6" hidden="1"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2:26" ht="15.6" hidden="1"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2:26" ht="15.6" hidden="1"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2:26" ht="15.6" hidden="1"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2:26" ht="15.6" hidden="1"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2:26" ht="15.6" hidden="1"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2:26" ht="15.6" hidden="1"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2:26" ht="15.6" hidden="1"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2:26" ht="15.6" hidden="1"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2:26" ht="15.6" hidden="1"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2:26" ht="15.6" hidden="1"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2:26" ht="15.6" hidden="1"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2:26" ht="15.6" hidden="1"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2:26" ht="15.6" hidden="1"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2:26" ht="15.6" hidden="1"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2:26" ht="15.6" hidden="1"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2:26" ht="15.6" hidden="1"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2:26" ht="15.6" hidden="1"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2:26" ht="15.6" hidden="1"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2:26" ht="15.6" hidden="1"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2:26" ht="15.6" hidden="1"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2:26" ht="15.6" hidden="1"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2:26" ht="15.6" hidden="1"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2:26" ht="15.6" hidden="1"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2:26" ht="15.6" hidden="1"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2:26" ht="15.6" hidden="1"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2:26" ht="15.6" hidden="1"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2:26" ht="15.6" hidden="1"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2:26" ht="15.6" hidden="1"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2:26" ht="15.6" hidden="1"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2:26" ht="15.6" hidden="1"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2:26" ht="15.6" hidden="1"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2:26" ht="15.6" hidden="1"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2:26" ht="15.6" hidden="1"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2:26" ht="15.6" hidden="1"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2:26" ht="15.6" hidden="1"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2:26" ht="15.6" hidden="1"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2:26" ht="15.6" hidden="1"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2:26" ht="15.6" hidden="1"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2:26" ht="15.6" hidden="1"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2:26" ht="15.6" hidden="1"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2:26" ht="15.6" hidden="1"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2:26" ht="15.6" hidden="1"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2:26" ht="15.6" hidden="1"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2:26" ht="15.6" hidden="1"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2:26" ht="15.6" hidden="1"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2:26" ht="15.6" hidden="1"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2:26" ht="15.6" hidden="1"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2:26" ht="15.6" hidden="1"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2:26" ht="15.6" hidden="1"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2:26" ht="15.6" hidden="1"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2:26" ht="15.6" hidden="1"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2:26" ht="15.6" hidden="1"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2:26" ht="15.6" hidden="1"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2:26" ht="15.6" hidden="1"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2:26" ht="15.6" hidden="1"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2:26" ht="15.6" hidden="1"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2:26" ht="15.6" hidden="1"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2:26" ht="15.6" hidden="1"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2:26" ht="15.6" hidden="1"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2:26" ht="15.6" hidden="1"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2:26" ht="15.6" hidden="1"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2:26" ht="15.6" hidden="1"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2:26" ht="15.6" hidden="1"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2:26" ht="15.6" hidden="1"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2:26" ht="15.6" hidden="1"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2:26" ht="15.6" hidden="1"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2:26" ht="15.6" hidden="1"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2:26" ht="15.6" hidden="1"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2:26" ht="15.6" hidden="1"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2:26" ht="15.6" hidden="1"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2:26" ht="15.6" hidden="1"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2:26" ht="15.6" hidden="1"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2:26" ht="15.6" hidden="1"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2:26" ht="15.6" hidden="1"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2:26" ht="15.6" hidden="1"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2:26" ht="15.6" hidden="1"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2:26" ht="15.6" hidden="1"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2:26" ht="15.6" hidden="1"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2:26" ht="15.6" hidden="1"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2:26" ht="15.6" hidden="1"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2:26" ht="15.6" hidden="1"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2:26" ht="15.6" hidden="1"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2:26" ht="15.6" hidden="1"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2:26" ht="15.6" hidden="1"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2:26" ht="15.6" hidden="1"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2:26" ht="15.6" hidden="1"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2:26" ht="15.6" hidden="1"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2:26" ht="15.6" hidden="1"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2:26" ht="15.6" hidden="1"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2:26" ht="15.6" hidden="1"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2:26" ht="15.6" hidden="1"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2:26" ht="15.6" hidden="1"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2:26" ht="15.6" hidden="1"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2:26" ht="15.6" hidden="1"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2:26" ht="15.6" hidden="1"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2:26" ht="15.6" hidden="1"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2:26" ht="15.6" hidden="1"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2:26" ht="15.6" hidden="1"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2:26" ht="15.6" hidden="1"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2:26" ht="15.6" hidden="1"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2:26" ht="15.6" hidden="1"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2:26" ht="15.6" hidden="1"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2:26" ht="15.6" hidden="1"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2:26" ht="15.6" hidden="1"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2:26" ht="15.6" hidden="1"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2:26" ht="15.6" hidden="1"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2:26" ht="15.6" hidden="1"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2:26" ht="15.6" hidden="1"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2:26" ht="15.6" hidden="1"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2:26" ht="15.6" hidden="1"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2:26" ht="15.6" hidden="1"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2:26" ht="15.6" hidden="1"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2:26" ht="15.6" hidden="1"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2:26" ht="15.6" hidden="1"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2:26" ht="15.6" hidden="1"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2:26" ht="15.6" hidden="1"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2:26" ht="15.6" hidden="1"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2:26" ht="15.6" hidden="1"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2:26" ht="15.6" hidden="1"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2:26" ht="15.6" hidden="1"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2:26" ht="15.6" hidden="1"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2:26" ht="15.6" hidden="1"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2:26" ht="15.6" hidden="1"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2:26" ht="15.6" hidden="1"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2:26" ht="15.6" hidden="1"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2:26" ht="15.6" hidden="1"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2:26" ht="15.6" hidden="1"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2:26" ht="15.6" hidden="1"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2:26" ht="15.6" hidden="1"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2:26" ht="15.6" hidden="1"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2:26" ht="15.6" hidden="1"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2:26" ht="15.6" hidden="1"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2:26" ht="15.6" hidden="1"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2:26" ht="15.6" hidden="1"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2:26" ht="15.6" hidden="1"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2:26" ht="15.6" hidden="1"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2:26" ht="15.6" hidden="1"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2:26" ht="15.6" hidden="1"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2:26" ht="15.6" hidden="1"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2:26" ht="15.6" hidden="1"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2:26" ht="15.6" hidden="1"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2:26" ht="15.6" hidden="1"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2:26" ht="15.6" hidden="1"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2:26" ht="15.6" hidden="1"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2:26" ht="15.6" hidden="1"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spans="2:26" ht="15.6" hidden="1"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spans="2:26" ht="15.6" hidden="1"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spans="2:26" ht="15.6" hidden="1"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spans="2:26" ht="15.6" hidden="1"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spans="2:26" ht="15.6" hidden="1"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spans="2:26" ht="15.6" hidden="1"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spans="2:26" ht="15.6" hidden="1"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교육과정편제표(비즈니스과)(2027)</vt:lpstr>
      <vt:lpstr>실무과목 능력단위(비즈니스과)(2027)</vt:lpstr>
      <vt:lpstr>교육과정편제표(바이오식품과)(2027)</vt:lpstr>
      <vt:lpstr>실무과목 능력단위(바이오식품과)(2027)</vt:lpstr>
      <vt:lpstr>삭제금지</vt:lpstr>
      <vt:lpstr>(참고1) 편성 기준🔐</vt:lpstr>
      <vt:lpstr>'교육과정편제표(바이오식품과)(2027)'!Print_Area</vt:lpstr>
      <vt:lpstr>'교육과정편제표(비즈니스과)(2027)'!Print_Area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admini</cp:lastModifiedBy>
  <cp:lastPrinted>2025-10-01T23:45:05Z</cp:lastPrinted>
  <dcterms:created xsi:type="dcterms:W3CDTF">2020-03-04T02:26:59Z</dcterms:created>
  <dcterms:modified xsi:type="dcterms:W3CDTF">2026-10-21T07:16:52Z</dcterms:modified>
</cp:coreProperties>
</file>